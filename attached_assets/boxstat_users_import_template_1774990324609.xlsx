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eams and Programs" sheetId="2" state="visible" r:id="rId4"/>
    <sheet name="Parents" sheetId="3" state="visible" r:id="rId5"/>
    <sheet name="Players" sheetId="4" state="visible" r:id="rId6"/>
    <sheet name="Coaches" sheetId="5" state="visible" r:id="rId7"/>
    <sheet name="Admins" sheetId="6" state="visible" r:id="rId8"/>
    <sheet name="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<sst xmlns="http://schemas.openxmlformats.org/spreadsheetml/2006/main" count="242" uniqueCount="182">
  <si>
    <t xml:space="preserve">  BOXSTAT — Organization Import Template</t>
  </si>
  <si>
    <t xml:space="preserve">    Complete this workbook to transfer your users into Boxstat. Follow the steps below in order.</t>
  </si>
  <si>
    <t xml:space="preserve">  STEP 1  ·  Set Up Teams &amp; Programs First</t>
  </si>
  <si>
    <t xml:space="preserve">    Open the 'Teams and Programs' sheet. Enter all team names and codes, plus program names. These feed the dropdowns throughout the template.</t>
  </si>
  <si>
    <t xml:space="preserve">  STEP 2  ·  Enter Parent Accounts</t>
  </si>
  <si>
    <t xml:space="preserve">    Open the 'Parents' sheet. Every family needs at least one parent with a unique email address. This email is the account ID that links everything together.</t>
  </si>
  <si>
    <t xml:space="preserve">  STEP 3  ·  Add Players</t>
  </si>
  <si>
    <t xml:space="preserve">    Open the 'Players' sheet. Link each player to their parent via Parent Email. Assign teams and programs using the dropdowns. Add subscription end dates so Boxstat can send renewal alerts.</t>
  </si>
  <si>
    <t xml:space="preserve">  STEP 4  ·  Add Coaches</t>
  </si>
  <si>
    <t xml:space="preserve">    Open the 'Coaches' sheet. Assign coaches to their teams and programs. If a coach is also a parent in the system, enter their Parent Email to link the accounts.</t>
  </si>
  <si>
    <t xml:space="preserve">  STEP 5  ·  Add Admins</t>
  </si>
  <si>
    <t xml:space="preserve">    Open the 'Admins' sheet. List all organization admins with their role and access level.</t>
  </si>
  <si>
    <t xml:space="preserve">  STEP 6  ·  Review Summary</t>
  </si>
  <si>
    <t xml:space="preserve">    Open the 'Summary' sheet last. It auto-counts your records and flags any expired or soon-to-expire subscriptions. Complete the pre-import checklist before sending to Boxstat.</t>
  </si>
  <si>
    <t xml:space="preserve">  KEY RULES — Read Before Filling In</t>
  </si>
  <si>
    <t xml:space="preserve">    •  Parent Email is the unique link ID — use the same email exactly everywhere.</t>
  </si>
  <si>
    <t xml:space="preserve">    •  Do NOT edit column headers. Boxstat maps fields by name.</t>
  </si>
  <si>
    <t xml:space="preserve">    •  Dates must be in MM/DD/YYYY format (e.g., 06/30/2026).</t>
  </si>
  <si>
    <t xml:space="preserve">    •  Use the dropdown menus for Role, Status, Team, and Program — do not type freeform.</t>
  </si>
  <si>
    <t xml:space="preserve">    •  Subscription End Date is required for any paid subscription. This drives the renewal prompt in Boxstat.</t>
  </si>
  <si>
    <t xml:space="preserve">    •  Players/Coaches auto-populate the parent account summary — no manual entry needed in those columns.</t>
  </si>
  <si>
    <t xml:space="preserve">  Teams and Programs — Reference Lists</t>
  </si>
  <si>
    <t xml:space="preserve">    Enter your team names/codes (left) and program names/codes (right). These populate the dropdowns throughout the workbook.</t>
  </si>
  <si>
    <t xml:space="preserve">  TEAMS</t>
  </si>
  <si>
    <t xml:space="preserve">  PROGRAMS</t>
  </si>
  <si>
    <t xml:space="preserve">Team Name</t>
  </si>
  <si>
    <t xml:space="preserve">Team Code / ID</t>
  </si>
  <si>
    <t xml:space="preserve">Program Name</t>
  </si>
  <si>
    <t xml:space="preserve">Program Code / ID</t>
  </si>
  <si>
    <t xml:space="preserve">Thunder U12</t>
  </si>
  <si>
    <t xml:space="preserve">THU12</t>
  </si>
  <si>
    <t xml:space="preserve">Skills Academy</t>
  </si>
  <si>
    <t xml:space="preserve">SKA</t>
  </si>
  <si>
    <t xml:space="preserve">Lightning U14</t>
  </si>
  <si>
    <t xml:space="preserve">LIG14</t>
  </si>
  <si>
    <t xml:space="preserve">Youth Development</t>
  </si>
  <si>
    <t xml:space="preserve">YDV</t>
  </si>
  <si>
    <t xml:space="preserve">Storm U16</t>
  </si>
  <si>
    <t xml:space="preserve">STO16</t>
  </si>
  <si>
    <t xml:space="preserve">Elite Training</t>
  </si>
  <si>
    <t xml:space="preserve">ELT</t>
  </si>
  <si>
    <t xml:space="preserve">Eagles Open</t>
  </si>
  <si>
    <t xml:space="preserve">EAGOP</t>
  </si>
  <si>
    <t xml:space="preserve">Recreational League</t>
  </si>
  <si>
    <t xml:space="preserve">REC</t>
  </si>
  <si>
    <t xml:space="preserve">Hawks Rec</t>
  </si>
  <si>
    <t xml:space="preserve">HAWRC</t>
  </si>
  <si>
    <t xml:space="preserve">Tournament Prep</t>
  </si>
  <si>
    <t xml:space="preserve">TRP</t>
  </si>
  <si>
    <t xml:space="preserve">  Parents — Family Guardian Accounts</t>
  </si>
  <si>
    <t xml:space="preserve">    Every family needs a parent record with a unique email. This email links all players, coaches, and subscriptions to the family account.</t>
  </si>
  <si>
    <t xml:space="preserve">  MANUAL INPUT  (Columns A–L)</t>
  </si>
  <si>
    <t xml:space="preserve">  AUTO-POPULATED  from Player sheet (do not edit)</t>
  </si>
  <si>
    <t xml:space="preserve">Parent ID</t>
  </si>
  <si>
    <t xml:space="preserve">First Name *</t>
  </si>
  <si>
    <t xml:space="preserve">Last Name *</t>
  </si>
  <si>
    <t xml:space="preserve">Email *
(Unique Account ID)</t>
  </si>
  <si>
    <t xml:space="preserve">Phone</t>
  </si>
  <si>
    <t xml:space="preserve">Address</t>
  </si>
  <si>
    <t xml:space="preserve">City</t>
  </si>
  <si>
    <t xml:space="preserve">State</t>
  </si>
  <si>
    <t xml:space="preserve">ZIP</t>
  </si>
  <si>
    <t xml:space="preserve">Account
Status</t>
  </si>
  <si>
    <t xml:space="preserve">Notes</t>
  </si>
  <si>
    <t xml:space="preserve"># Players
(Auto)</t>
  </si>
  <si>
    <t xml:space="preserve">Linked Players
(Auto)</t>
  </si>
  <si>
    <t xml:space="preserve">Programs
(Auto)</t>
  </si>
  <si>
    <t xml:space="preserve">Teams
(Auto)</t>
  </si>
  <si>
    <t xml:space="preserve">PAR001</t>
  </si>
  <si>
    <t xml:space="preserve">John</t>
  </si>
  <si>
    <t xml:space="preserve">Meadows</t>
  </si>
  <si>
    <t xml:space="preserve">meadowsrjack@gmail.com</t>
  </si>
  <si>
    <t xml:space="preserve">520-474-2993</t>
  </si>
  <si>
    <t xml:space="preserve">123 Oak St</t>
  </si>
  <si>
    <t xml:space="preserve">Tucson</t>
  </si>
  <si>
    <t xml:space="preserve">AZ</t>
  </si>
  <si>
    <t xml:space="preserve">85704</t>
  </si>
  <si>
    <t xml:space="preserve">Active</t>
  </si>
  <si>
    <t xml:space="preserve">PAR002</t>
  </si>
  <si>
    <t xml:space="preserve">Sarah</t>
  </si>
  <si>
    <t xml:space="preserve">Johnson</t>
  </si>
  <si>
    <t xml:space="preserve">sarah.j@email.com</t>
  </si>
  <si>
    <t xml:space="preserve">520-555-0102</t>
  </si>
  <si>
    <t xml:space="preserve">456 Pine Ave</t>
  </si>
  <si>
    <t xml:space="preserve">85705</t>
  </si>
  <si>
    <t xml:space="preserve">  Players — Athlete Roster &amp; Enrollments</t>
  </si>
  <si>
    <t xml:space="preserve">    Link each player to their parent via Parent Email. Use dropdowns for Team and Program. Subscription End Date drives renewal alerts in Boxstat.</t>
  </si>
  <si>
    <t xml:space="preserve">  PLAYER DETAILS</t>
  </si>
  <si>
    <t xml:space="preserve">  TEAM &amp; PROGRAM — Use Dropdowns</t>
  </si>
  <si>
    <t xml:space="preserve">  SUBSCRIPTION &amp; PAYMENT</t>
  </si>
  <si>
    <t xml:space="preserve">  AUTO-ALERTS — Do Not Edit</t>
  </si>
  <si>
    <t xml:space="preserve">Player ID</t>
  </si>
  <si>
    <t xml:space="preserve">Date of Birth
(MM/DD/YYYY)</t>
  </si>
  <si>
    <t xml:space="preserve">Gender</t>
  </si>
  <si>
    <t xml:space="preserve">Player Email</t>
  </si>
  <si>
    <t xml:space="preserve">Parent Email *
(Links to Parent)</t>
  </si>
  <si>
    <t xml:space="preserve">Team Code</t>
  </si>
  <si>
    <t xml:space="preserve">Program Code</t>
  </si>
  <si>
    <t xml:space="preserve">Role</t>
  </si>
  <si>
    <t xml:space="preserve">Status</t>
  </si>
  <si>
    <t xml:space="preserve">Subscription
Plan</t>
  </si>
  <si>
    <t xml:space="preserve">Payment
Start Date</t>
  </si>
  <si>
    <t xml:space="preserve">Payment
End Date *</t>
  </si>
  <si>
    <t xml:space="preserve">Days Until
Expiry</t>
  </si>
  <si>
    <t xml:space="preserve">Renewal
Alert</t>
  </si>
  <si>
    <t xml:space="preserve">PLY001</t>
  </si>
  <si>
    <t xml:space="preserve">Test1</t>
  </si>
  <si>
    <t xml:space="preserve">1</t>
  </si>
  <si>
    <t xml:space="preserve">01/15/2014</t>
  </si>
  <si>
    <t xml:space="preserve">Male</t>
  </si>
  <si>
    <t xml:space="preserve">5204742993</t>
  </si>
  <si>
    <t xml:space="preserve">Player</t>
  </si>
  <si>
    <t xml:space="preserve">Annual</t>
  </si>
  <si>
    <t xml:space="preserve">01/15/2025</t>
  </si>
  <si>
    <t xml:space="preserve">06/30/2026</t>
  </si>
  <si>
    <t xml:space="preserve">PLY002</t>
  </si>
  <si>
    <t xml:space="preserve">Alex</t>
  </si>
  <si>
    <t xml:space="preserve">03/22/2012</t>
  </si>
  <si>
    <t xml:space="preserve">alexj@email.com</t>
  </si>
  <si>
    <t xml:space="preserve">520-555-0110</t>
  </si>
  <si>
    <t xml:space="preserve">Monthly</t>
  </si>
  <si>
    <t xml:space="preserve">03/01/2025</t>
  </si>
  <si>
    <t xml:space="preserve">04/01/2026</t>
  </si>
  <si>
    <t xml:space="preserve">  Coaches — Staff &amp; Coaching Assignments</t>
  </si>
  <si>
    <t xml:space="preserve">    Assign coaches to teams and programs using the dropdowns. Link to a Parent Email only if the coach is also a registered guardian.</t>
  </si>
  <si>
    <t xml:space="preserve">  COACH DETAILS</t>
  </si>
  <si>
    <t xml:space="preserve">  ROLE &amp; STATUS</t>
  </si>
  <si>
    <t xml:space="preserve">  SUBSCRIPTION &amp; ALERTS</t>
  </si>
  <si>
    <t xml:space="preserve">  NOTES</t>
  </si>
  <si>
    <t xml:space="preserve">Coach ID</t>
  </si>
  <si>
    <t xml:space="preserve">Email *</t>
  </si>
  <si>
    <t xml:space="preserve">Parent Email
(If Applicable)</t>
  </si>
  <si>
    <t xml:space="preserve">Certification
Level</t>
  </si>
  <si>
    <t xml:space="preserve">Coach Role</t>
  </si>
  <si>
    <t xml:space="preserve">  Admins — Organization Administrators</t>
  </si>
  <si>
    <t xml:space="preserve">    List all admins with their role and access level. Optionally link to a parent account if the admin is also a guardian in the system.</t>
  </si>
  <si>
    <t xml:space="preserve">  MANUAL INPUT  — All fields editable</t>
  </si>
  <si>
    <t xml:space="preserve">Admin ID</t>
  </si>
  <si>
    <t xml:space="preserve">Admin Role</t>
  </si>
  <si>
    <t xml:space="preserve">Access Level</t>
  </si>
  <si>
    <t xml:space="preserve">Date Added
(MM/DD/YYYY)</t>
  </si>
  <si>
    <t xml:space="preserve">ADM001</t>
  </si>
  <si>
    <t xml:space="preserve">Jack</t>
  </si>
  <si>
    <t xml:space="preserve">Super Admin</t>
  </si>
  <si>
    <t xml:space="preserve">Full Access</t>
  </si>
  <si>
    <t xml:space="preserve">03/31/2026</t>
  </si>
  <si>
    <t xml:space="preserve">Organization owner</t>
  </si>
  <si>
    <t xml:space="preserve">  Summary Dashboard — Auto-Calculated Overview</t>
  </si>
  <si>
    <t xml:space="preserve">    Fill the other sheets first. This sheet auto-calculates counts and flags expiring subscriptions for Boxstat to action.</t>
  </si>
  <si>
    <t xml:space="preserve">  RECORD COUNTS</t>
  </si>
  <si>
    <t xml:space="preserve">Category</t>
  </si>
  <si>
    <t xml:space="preserve">Count</t>
  </si>
  <si>
    <t xml:space="preserve">  Parents</t>
  </si>
  <si>
    <t xml:space="preserve">  Players</t>
  </si>
  <si>
    <t xml:space="preserve">  Coaches</t>
  </si>
  <si>
    <t xml:space="preserve">  Admins</t>
  </si>
  <si>
    <t xml:space="preserve">  SUBSCRIPTION STATUS</t>
  </si>
  <si>
    <t xml:space="preserve">Players</t>
  </si>
  <si>
    <t xml:space="preserve">Coaches</t>
  </si>
  <si>
    <t xml:space="preserve">  Active Subscriptions</t>
  </si>
  <si>
    <t xml:space="preserve">  Expiring Within 30 Days</t>
  </si>
  <si>
    <t xml:space="preserve">  Expired — Action Required</t>
  </si>
  <si>
    <t xml:space="preserve">  No Subscription Listed</t>
  </si>
  <si>
    <t xml:space="preserve">  PRE-IMPORT CHECKLIST — Complete before sending to Boxstat</t>
  </si>
  <si>
    <t xml:space="preserve">Check</t>
  </si>
  <si>
    <t xml:space="preserve">Item</t>
  </si>
  <si>
    <t xml:space="preserve">Reference</t>
  </si>
  <si>
    <t xml:space="preserve">Pending</t>
  </si>
  <si>
    <t xml:space="preserve">Teams &amp; Programs sheet is filled in</t>
  </si>
  <si>
    <t xml:space="preserve">Teams and Programs</t>
  </si>
  <si>
    <t xml:space="preserve">All parents have unique emails entered</t>
  </si>
  <si>
    <t xml:space="preserve">Parents</t>
  </si>
  <si>
    <t xml:space="preserve">All players linked to a Parent Email</t>
  </si>
  <si>
    <t xml:space="preserve">Subscription end dates entered for paid users</t>
  </si>
  <si>
    <t xml:space="preserve">Players / Coaches</t>
  </si>
  <si>
    <t xml:space="preserve">Coaches assigned to teams or programs</t>
  </si>
  <si>
    <t xml:space="preserve">Admins entered with correct access level</t>
  </si>
  <si>
    <t xml:space="preserve">Admins</t>
  </si>
  <si>
    <t xml:space="preserve">Zero records showing EXPIRED subscription</t>
  </si>
  <si>
    <t xml:space="preserve">Summary above</t>
  </si>
  <si>
    <t xml:space="preserve">All dates in MM/DD/YYYY format</t>
  </si>
  <si>
    <t xml:space="preserve">All Sheets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</si>
</sst>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1A2B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A2B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b val="true"/>
      <sz val="10"/>
      <color rgb="FF1A2B4A"/>
      <name val="Arial"/>
      <family val="0"/>
      <charset val="1"/>
    </font>
    <font>
      <b val="true"/>
      <sz val="11"/>
      <color rgb="FF8E44AD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27AE60"/>
      <name val="Arial"/>
      <family val="0"/>
      <charset val="1"/>
    </font>
    <font>
      <b val="true"/>
      <sz val="11"/>
      <color rgb="FFE67E22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2"/>
      <color rgb="FF1A2B4A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A2B4A"/>
        <bgColor rgb="FF003366"/>
      </patternFill>
    </fill>
    <fill>
      <patternFill patternType="solid">
        <fgColor rgb="FFD6EAF8"/>
        <bgColor rgb="FFD4E6F1"/>
      </patternFill>
    </fill>
    <fill>
      <patternFill patternType="solid">
        <fgColor rgb="FFFFFFFF"/>
        <bgColor rgb="FFECF0F1"/>
      </patternFill>
    </fill>
    <fill>
      <patternFill patternType="solid">
        <fgColor rgb="FF1ABC9C"/>
        <bgColor rgb="FF27AE60"/>
      </patternFill>
    </fill>
    <fill>
      <patternFill patternType="solid">
        <fgColor rgb="FFD1F2EB"/>
        <bgColor rgb="FFD5F5E3"/>
      </patternFill>
    </fill>
    <fill>
      <patternFill patternType="solid">
        <fgColor rgb="FF8E44AD"/>
        <bgColor rgb="FF993366"/>
      </patternFill>
    </fill>
    <fill>
      <patternFill patternType="solid">
        <fgColor rgb="FFE8DAEF"/>
        <bgColor rgb="FFFADBD8"/>
      </patternFill>
    </fill>
    <fill>
      <patternFill patternType="solid">
        <fgColor rgb="FF27AE60"/>
        <bgColor rgb="FF1ABC9C"/>
      </patternFill>
    </fill>
    <fill>
      <patternFill patternType="solid">
        <fgColor rgb="FFD5F5E3"/>
        <bgColor rgb="FFD1F2EB"/>
      </patternFill>
    </fill>
    <fill>
      <patternFill patternType="solid">
        <fgColor rgb="FFE67E22"/>
        <bgColor rgb="FFF39C12"/>
      </patternFill>
    </fill>
    <fill>
      <patternFill patternType="solid">
        <fgColor rgb="FFFDEBD0"/>
        <bgColor rgb="FFFADBD8"/>
      </patternFill>
    </fill>
    <fill>
      <patternFill patternType="solid">
        <fgColor rgb="FFC0392B"/>
        <bgColor rgb="FF993366"/>
      </patternFill>
    </fill>
    <fill>
      <patternFill patternType="solid">
        <fgColor rgb="FFFADBD8"/>
        <bgColor rgb="FFE8DAEF"/>
      </patternFill>
    </fill>
    <fill>
      <patternFill patternType="solid">
        <fgColor rgb="FFD4E6F1"/>
        <bgColor rgb="FFD6EAF8"/>
      </patternFill>
    </fill>
    <fill>
      <patternFill patternType="solid">
        <fgColor rgb="FFF39C12"/>
        <bgColor rgb="FFE67E22"/>
      </patternFill>
    </fill>
    <fill>
      <patternFill patternType="solid">
        <fgColor rgb="FFECF0F1"/>
        <bgColor rgb="FFD6EA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8E44AD"/>
      <rgbColor rgb="FFFDEBD0"/>
      <rgbColor rgb="FFD1F2EB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ECF0F1"/>
      <rgbColor rgb="FFD4E6F1"/>
      <rgbColor rgb="FFFF99CC"/>
      <rgbColor rgb="FFCC99FF"/>
      <rgbColor rgb="FFFADBD8"/>
      <rgbColor rgb="FF3366FF"/>
      <rgbColor rgb="FF1ABC9C"/>
      <rgbColor rgb="FF99CC00"/>
      <rgbColor rgb="FFFFCC00"/>
      <rgbColor rgb="FFF39C12"/>
      <rgbColor rgb="FFE67E22"/>
      <rgbColor rgb="FF666699"/>
      <rgbColor rgb="FF999999"/>
      <rgbColor rgb="FF003366"/>
      <rgbColor rgb="FF27AE60"/>
      <rgbColor rgb="FF003300"/>
      <rgbColor rgb="FF333300"/>
      <rgbColor rgb="FFC0392B"/>
      <rgbColor rgb="FF993366"/>
      <rgbColor rgb="FF333399"/>
      <rgbColor rgb="FF1A2B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B4A"/>
    <pageSetUpPr fitToPage="false"/>
  </sheetPr>
  <dimension ref="A1:D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18"/>
  </cols>
  <sheetData>
    <row r="1" customFormat="false" ht="12" hidden="false" customHeight="true" outlineLevel="0" collapsed="false">
      <c r="A1" s="1"/>
      <c r="B1" s="1"/>
      <c r="C1" s="1"/>
      <c r="D1" s="1"/>
    </row>
    <row r="2" customFormat="false" ht="37.5" hidden="false" customHeight="true" outlineLevel="0" collapsed="false">
      <c r="A2" s="2" t="s">
        <v>0</v>
      </c>
      <c r="B2" s="2"/>
      <c r="C2" s="2"/>
      <c r="D2" s="2"/>
    </row>
    <row r="3" customFormat="false" ht="21.75" hidden="false" customHeight="true" outlineLevel="0" collapsed="false">
      <c r="A3" s="3" t="s">
        <v>1</v>
      </c>
      <c r="B3" s="3"/>
      <c r="C3" s="3"/>
      <c r="D3" s="3"/>
    </row>
    <row r="4" customFormat="false" ht="7.5" hidden="false" customHeight="true" outlineLevel="0" collapsed="false">
      <c r="A4" s="4"/>
      <c r="B4" s="4"/>
      <c r="C4" s="4"/>
      <c r="D4" s="4"/>
    </row>
    <row r="5" customFormat="false" ht="25.5" hidden="false" customHeight="true" outlineLevel="0" collapsed="false">
      <c r="A5" s="5" t="s">
        <v>2</v>
      </c>
      <c r="B5" s="5"/>
      <c r="C5" s="5"/>
      <c r="D5" s="5"/>
    </row>
    <row r="6" customFormat="false" ht="48" hidden="false" customHeight="true" outlineLevel="0" collapsed="false">
      <c r="A6" s="6" t="s">
        <v>3</v>
      </c>
      <c r="B6" s="6"/>
      <c r="C6" s="6"/>
      <c r="D6" s="6"/>
    </row>
    <row r="7" customFormat="false" ht="4.5" hidden="false" customHeight="true" outlineLevel="0" collapsed="false">
      <c r="A7" s="7"/>
      <c r="B7" s="7"/>
      <c r="C7" s="7"/>
      <c r="D7" s="7"/>
    </row>
    <row r="8" customFormat="false" ht="25.5" hidden="false" customHeight="true" outlineLevel="0" collapsed="false">
      <c r="A8" s="8" t="s">
        <v>4</v>
      </c>
      <c r="B8" s="8"/>
      <c r="C8" s="8"/>
      <c r="D8" s="8"/>
    </row>
    <row r="9" customFormat="false" ht="48" hidden="false" customHeight="true" outlineLevel="0" collapsed="false">
      <c r="A9" s="9" t="s">
        <v>5</v>
      </c>
      <c r="B9" s="9"/>
      <c r="C9" s="9"/>
      <c r="D9" s="9"/>
    </row>
    <row r="10" customFormat="false" ht="4.5" hidden="false" customHeight="true" outlineLevel="0" collapsed="false">
      <c r="A10" s="7"/>
      <c r="B10" s="7"/>
      <c r="C10" s="7"/>
      <c r="D10" s="7"/>
    </row>
    <row r="11" customFormat="false" ht="25.5" hidden="false" customHeight="true" outlineLevel="0" collapsed="false">
      <c r="A11" s="10" t="s">
        <v>6</v>
      </c>
      <c r="B11" s="10"/>
      <c r="C11" s="10"/>
      <c r="D11" s="10"/>
    </row>
    <row r="12" customFormat="false" ht="48" hidden="false" customHeight="true" outlineLevel="0" collapsed="false">
      <c r="A12" s="11" t="s">
        <v>7</v>
      </c>
      <c r="B12" s="11"/>
      <c r="C12" s="11"/>
      <c r="D12" s="11"/>
    </row>
    <row r="13" customFormat="false" ht="4.5" hidden="false" customHeight="true" outlineLevel="0" collapsed="false">
      <c r="A13" s="7"/>
      <c r="B13" s="7"/>
      <c r="C13" s="7"/>
      <c r="D13" s="7"/>
    </row>
    <row r="14" customFormat="false" ht="25.5" hidden="false" customHeight="true" outlineLevel="0" collapsed="false">
      <c r="A14" s="12" t="s">
        <v>8</v>
      </c>
      <c r="B14" s="12"/>
      <c r="C14" s="12"/>
      <c r="D14" s="12"/>
    </row>
    <row r="15" customFormat="false" ht="48" hidden="false" customHeight="true" outlineLevel="0" collapsed="false">
      <c r="A15" s="13" t="s">
        <v>9</v>
      </c>
      <c r="B15" s="13"/>
      <c r="C15" s="13"/>
      <c r="D15" s="13"/>
    </row>
    <row r="16" customFormat="false" ht="4.5" hidden="false" customHeight="true" outlineLevel="0" collapsed="false">
      <c r="A16" s="7"/>
      <c r="B16" s="7"/>
      <c r="C16" s="7"/>
      <c r="D16" s="7"/>
    </row>
    <row r="17" customFormat="false" ht="25.5" hidden="false" customHeight="true" outlineLevel="0" collapsed="false">
      <c r="A17" s="14" t="s">
        <v>10</v>
      </c>
      <c r="B17" s="14"/>
      <c r="C17" s="14"/>
      <c r="D17" s="14"/>
    </row>
    <row r="18" customFormat="false" ht="48" hidden="false" customHeight="true" outlineLevel="0" collapsed="false">
      <c r="A18" s="15" t="s">
        <v>11</v>
      </c>
      <c r="B18" s="15"/>
      <c r="C18" s="15"/>
      <c r="D18" s="15"/>
    </row>
    <row r="19" customFormat="false" ht="4.5" hidden="false" customHeight="true" outlineLevel="0" collapsed="false">
      <c r="A19" s="7"/>
      <c r="B19" s="7"/>
      <c r="C19" s="7"/>
      <c r="D19" s="7"/>
    </row>
    <row r="20" customFormat="false" ht="25.5" hidden="false" customHeight="true" outlineLevel="0" collapsed="false">
      <c r="A20" s="16" t="s">
        <v>12</v>
      </c>
      <c r="B20" s="16"/>
      <c r="C20" s="16"/>
      <c r="D20" s="16"/>
    </row>
    <row r="21" customFormat="false" ht="48" hidden="false" customHeight="true" outlineLevel="0" collapsed="false">
      <c r="A21" s="17" t="s">
        <v>13</v>
      </c>
      <c r="B21" s="17"/>
      <c r="C21" s="17"/>
      <c r="D21" s="17"/>
    </row>
    <row r="22" customFormat="false" ht="4.5" hidden="false" customHeight="true" outlineLevel="0" collapsed="false">
      <c r="A22" s="7"/>
      <c r="B22" s="7"/>
      <c r="C22" s="7"/>
      <c r="D22" s="7"/>
    </row>
    <row r="24" customFormat="false" ht="24" hidden="false" customHeight="true" outlineLevel="0" collapsed="false">
      <c r="A24" s="18" t="s">
        <v>14</v>
      </c>
      <c r="B24" s="18"/>
      <c r="C24" s="18"/>
      <c r="D24" s="18"/>
    </row>
    <row r="25" customFormat="false" ht="21.75" hidden="false" customHeight="true" outlineLevel="0" collapsed="false">
      <c r="A25" s="13" t="s">
        <v>15</v>
      </c>
      <c r="B25" s="13"/>
      <c r="C25" s="13"/>
      <c r="D25" s="13"/>
    </row>
    <row r="26" customFormat="false" ht="21.75" hidden="false" customHeight="true" outlineLevel="0" collapsed="false">
      <c r="A26" s="13" t="s">
        <v>16</v>
      </c>
      <c r="B26" s="13"/>
      <c r="C26" s="13"/>
      <c r="D26" s="13"/>
    </row>
    <row r="27" customFormat="false" ht="21.75" hidden="false" customHeight="true" outlineLevel="0" collapsed="false">
      <c r="A27" s="13" t="s">
        <v>17</v>
      </c>
      <c r="B27" s="13"/>
      <c r="C27" s="13"/>
      <c r="D27" s="13"/>
    </row>
    <row r="28" customFormat="false" ht="21.75" hidden="false" customHeight="true" outlineLevel="0" collapsed="false">
      <c r="A28" s="13" t="s">
        <v>18</v>
      </c>
      <c r="B28" s="13"/>
      <c r="C28" s="13"/>
      <c r="D28" s="13"/>
    </row>
    <row r="29" customFormat="false" ht="21.75" hidden="false" customHeight="true" outlineLevel="0" collapsed="false">
      <c r="A29" s="13" t="s">
        <v>19</v>
      </c>
      <c r="B29" s="13"/>
      <c r="C29" s="13"/>
      <c r="D29" s="13"/>
    </row>
    <row r="30" customFormat="false" ht="21.75" hidden="false" customHeight="true" outlineLevel="0" collapsed="false">
      <c r="A30" s="13" t="s">
        <v>20</v>
      </c>
      <c r="B30" s="13"/>
      <c r="C30" s="13"/>
      <c r="D30" s="13"/>
    </row>
  </sheetData>
  <mergeCells count="28">
    <mergeCell ref="A1:D1"/>
    <mergeCell ref="A2:D2"/>
    <mergeCell ref="A3:D3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4:D24"/>
    <mergeCell ref="A25:D25"/>
    <mergeCell ref="A26:D26"/>
    <mergeCell ref="A27:D27"/>
    <mergeCell ref="A28:D28"/>
    <mergeCell ref="A29:D29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BC9C"/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30"/>
    <col collapsed="false" customWidth="true" hidden="false" outlineLevel="0" max="6" min="6" style="0" width="18"/>
  </cols>
  <sheetData>
    <row r="1" customFormat="false" ht="12" hidden="false" customHeight="true" outlineLevel="0" collapsed="false">
      <c r="A1" s="19"/>
      <c r="B1" s="19"/>
      <c r="C1" s="19"/>
      <c r="D1" s="19"/>
      <c r="E1" s="19"/>
      <c r="F1" s="19"/>
    </row>
    <row r="2" customFormat="false" ht="37.5" hidden="false" customHeight="true" outlineLevel="0" collapsed="false">
      <c r="A2" s="20" t="s">
        <v>21</v>
      </c>
      <c r="B2" s="20"/>
      <c r="C2" s="20"/>
      <c r="D2" s="20"/>
      <c r="E2" s="20"/>
      <c r="F2" s="20"/>
    </row>
    <row r="3" customFormat="false" ht="21.75" hidden="false" customHeight="true" outlineLevel="0" collapsed="false">
      <c r="A3" s="21" t="s">
        <v>22</v>
      </c>
      <c r="B3" s="21"/>
      <c r="C3" s="21"/>
      <c r="D3" s="21"/>
      <c r="E3" s="21"/>
      <c r="F3" s="21"/>
    </row>
    <row r="4" customFormat="false" ht="7.5" hidden="false" customHeight="true" outlineLevel="0" collapsed="false">
      <c r="A4" s="4"/>
      <c r="B4" s="4"/>
      <c r="C4" s="4"/>
      <c r="D4" s="4"/>
      <c r="E4" s="4"/>
      <c r="F4" s="4"/>
    </row>
    <row r="5" customFormat="false" ht="25.5" hidden="false" customHeight="true" outlineLevel="0" collapsed="false">
      <c r="A5" s="5" t="s">
        <v>23</v>
      </c>
      <c r="B5" s="5"/>
      <c r="C5" s="5"/>
      <c r="D5" s="8" t="s">
        <v>24</v>
      </c>
      <c r="E5" s="8"/>
      <c r="F5" s="8"/>
    </row>
    <row r="6" customFormat="false" ht="30" hidden="false" customHeight="true" outlineLevel="0" collapsed="false">
      <c r="A6" s="22"/>
      <c r="B6" s="22" t="s">
        <v>25</v>
      </c>
      <c r="C6" s="22" t="s">
        <v>26</v>
      </c>
      <c r="D6" s="23"/>
      <c r="E6" s="23" t="s">
        <v>27</v>
      </c>
      <c r="F6" s="23" t="s">
        <v>28</v>
      </c>
    </row>
    <row r="7" customFormat="false" ht="21.75" hidden="false" customHeight="true" outlineLevel="0" collapsed="false">
      <c r="A7" s="24"/>
      <c r="B7" s="25" t="s">
        <v>29</v>
      </c>
      <c r="C7" s="25" t="s">
        <v>30</v>
      </c>
      <c r="D7" s="26"/>
      <c r="E7" s="27" t="s">
        <v>31</v>
      </c>
      <c r="F7" s="27" t="s">
        <v>32</v>
      </c>
    </row>
    <row r="8" customFormat="false" ht="21.75" hidden="false" customHeight="true" outlineLevel="0" collapsed="false">
      <c r="A8" s="4"/>
      <c r="B8" s="28" t="s">
        <v>33</v>
      </c>
      <c r="C8" s="28" t="s">
        <v>34</v>
      </c>
      <c r="D8" s="4"/>
      <c r="E8" s="28" t="s">
        <v>35</v>
      </c>
      <c r="F8" s="28" t="s">
        <v>36</v>
      </c>
    </row>
    <row r="9" customFormat="false" ht="21.75" hidden="false" customHeight="true" outlineLevel="0" collapsed="false">
      <c r="A9" s="24"/>
      <c r="B9" s="25" t="s">
        <v>37</v>
      </c>
      <c r="C9" s="25" t="s">
        <v>38</v>
      </c>
      <c r="D9" s="26"/>
      <c r="E9" s="27" t="s">
        <v>39</v>
      </c>
      <c r="F9" s="27" t="s">
        <v>40</v>
      </c>
    </row>
    <row r="10" customFormat="false" ht="21.75" hidden="false" customHeight="true" outlineLevel="0" collapsed="false">
      <c r="A10" s="4"/>
      <c r="B10" s="28" t="s">
        <v>41</v>
      </c>
      <c r="C10" s="28" t="s">
        <v>42</v>
      </c>
      <c r="D10" s="4"/>
      <c r="E10" s="28" t="s">
        <v>43</v>
      </c>
      <c r="F10" s="28" t="s">
        <v>44</v>
      </c>
    </row>
    <row r="11" customFormat="false" ht="21.75" hidden="false" customHeight="true" outlineLevel="0" collapsed="false">
      <c r="A11" s="24"/>
      <c r="B11" s="25" t="s">
        <v>45</v>
      </c>
      <c r="C11" s="25" t="s">
        <v>46</v>
      </c>
      <c r="D11" s="26"/>
      <c r="E11" s="27" t="s">
        <v>47</v>
      </c>
      <c r="F11" s="27" t="s">
        <v>48</v>
      </c>
    </row>
    <row r="12" customFormat="false" ht="21.75" hidden="false" customHeight="true" outlineLevel="0" collapsed="false">
      <c r="A12" s="4"/>
      <c r="B12" s="28"/>
      <c r="C12" s="28"/>
      <c r="D12" s="4"/>
      <c r="E12" s="28"/>
      <c r="F12" s="28"/>
    </row>
    <row r="13" customFormat="false" ht="21.75" hidden="false" customHeight="true" outlineLevel="0" collapsed="false">
      <c r="A13" s="24"/>
      <c r="B13" s="25"/>
      <c r="C13" s="25"/>
      <c r="D13" s="26"/>
      <c r="E13" s="27"/>
      <c r="F13" s="27"/>
    </row>
    <row r="14" customFormat="false" ht="21.75" hidden="false" customHeight="true" outlineLevel="0" collapsed="false">
      <c r="A14" s="4"/>
      <c r="B14" s="28"/>
      <c r="C14" s="28"/>
      <c r="D14" s="4"/>
      <c r="E14" s="28"/>
      <c r="F14" s="28"/>
    </row>
    <row r="15" customFormat="false" ht="21.75" hidden="false" customHeight="true" outlineLevel="0" collapsed="false">
      <c r="A15" s="24"/>
      <c r="B15" s="25"/>
      <c r="C15" s="25"/>
      <c r="D15" s="26"/>
      <c r="E15" s="27"/>
      <c r="F15" s="27"/>
    </row>
    <row r="16" customFormat="false" ht="21.75" hidden="false" customHeight="true" outlineLevel="0" collapsed="false">
      <c r="A16" s="4"/>
      <c r="B16" s="28"/>
      <c r="C16" s="28"/>
      <c r="D16" s="4"/>
      <c r="E16" s="28"/>
      <c r="F16" s="28"/>
    </row>
    <row r="17" customFormat="false" ht="21.75" hidden="false" customHeight="true" outlineLevel="0" collapsed="false">
      <c r="A17" s="24"/>
      <c r="B17" s="25"/>
      <c r="C17" s="25"/>
      <c r="D17" s="26"/>
      <c r="E17" s="27"/>
      <c r="F17" s="27"/>
    </row>
    <row r="18" customFormat="false" ht="21.75" hidden="false" customHeight="true" outlineLevel="0" collapsed="false">
      <c r="A18" s="4"/>
      <c r="B18" s="28"/>
      <c r="C18" s="28"/>
      <c r="D18" s="4"/>
      <c r="E18" s="28"/>
      <c r="F18" s="28"/>
    </row>
    <row r="19" customFormat="false" ht="21.75" hidden="false" customHeight="true" outlineLevel="0" collapsed="false">
      <c r="A19" s="24"/>
      <c r="B19" s="25"/>
      <c r="C19" s="25"/>
      <c r="D19" s="26"/>
      <c r="E19" s="27"/>
      <c r="F19" s="27"/>
    </row>
    <row r="20" customFormat="false" ht="21.75" hidden="false" customHeight="true" outlineLevel="0" collapsed="false">
      <c r="A20" s="4"/>
      <c r="B20" s="28"/>
      <c r="C20" s="28"/>
      <c r="D20" s="4"/>
      <c r="E20" s="28"/>
      <c r="F20" s="28"/>
    </row>
    <row r="21" customFormat="false" ht="21.75" hidden="false" customHeight="true" outlineLevel="0" collapsed="false">
      <c r="A21" s="24"/>
      <c r="B21" s="25"/>
      <c r="C21" s="25"/>
      <c r="D21" s="26"/>
      <c r="E21" s="27"/>
      <c r="F21" s="27"/>
    </row>
    <row r="22" customFormat="false" ht="21.75" hidden="false" customHeight="true" outlineLevel="0" collapsed="false">
      <c r="A22" s="4"/>
      <c r="B22" s="28"/>
      <c r="C22" s="28"/>
      <c r="D22" s="4"/>
      <c r="E22" s="28"/>
      <c r="F22" s="28"/>
    </row>
    <row r="23" customFormat="false" ht="21.75" hidden="false" customHeight="true" outlineLevel="0" collapsed="false">
      <c r="A23" s="24"/>
      <c r="B23" s="25"/>
      <c r="C23" s="25"/>
      <c r="D23" s="26"/>
      <c r="E23" s="27"/>
      <c r="F23" s="27"/>
    </row>
    <row r="24" customFormat="false" ht="21.75" hidden="false" customHeight="true" outlineLevel="0" collapsed="false">
      <c r="A24" s="4"/>
      <c r="B24" s="28"/>
      <c r="C24" s="28"/>
      <c r="D24" s="4"/>
      <c r="E24" s="28"/>
      <c r="F24" s="28"/>
    </row>
    <row r="25" customFormat="false" ht="21.75" hidden="false" customHeight="true" outlineLevel="0" collapsed="false">
      <c r="A25" s="24"/>
      <c r="B25" s="25"/>
      <c r="C25" s="25"/>
      <c r="D25" s="26"/>
      <c r="E25" s="27"/>
      <c r="F25" s="27"/>
    </row>
    <row r="26" customFormat="false" ht="21.75" hidden="false" customHeight="true" outlineLevel="0" collapsed="false">
      <c r="A26" s="4"/>
      <c r="B26" s="28"/>
      <c r="C26" s="28"/>
      <c r="D26" s="4"/>
      <c r="E26" s="28"/>
      <c r="F26" s="28"/>
    </row>
    <row r="27" customFormat="false" ht="21.75" hidden="false" customHeight="true" outlineLevel="0" collapsed="false">
      <c r="A27" s="24"/>
      <c r="B27" s="25"/>
      <c r="C27" s="25"/>
      <c r="D27" s="26"/>
      <c r="E27" s="27"/>
      <c r="F27" s="27"/>
    </row>
    <row r="28" customFormat="false" ht="21.75" hidden="false" customHeight="true" outlineLevel="0" collapsed="false">
      <c r="A28" s="4"/>
      <c r="B28" s="28"/>
      <c r="C28" s="28"/>
      <c r="D28" s="4"/>
      <c r="E28" s="28"/>
      <c r="F28" s="28"/>
    </row>
    <row r="29" customFormat="false" ht="21.75" hidden="false" customHeight="true" outlineLevel="0" collapsed="false">
      <c r="A29" s="24"/>
      <c r="B29" s="25"/>
      <c r="C29" s="25"/>
      <c r="D29" s="26"/>
      <c r="E29" s="27"/>
      <c r="F29" s="27"/>
    </row>
    <row r="30" customFormat="false" ht="21.75" hidden="false" customHeight="true" outlineLevel="0" collapsed="false">
      <c r="A30" s="4"/>
      <c r="B30" s="28"/>
      <c r="C30" s="28"/>
      <c r="D30" s="4"/>
      <c r="E30" s="28"/>
      <c r="F30" s="28"/>
    </row>
    <row r="31" customFormat="false" ht="21.75" hidden="false" customHeight="true" outlineLevel="0" collapsed="false">
      <c r="A31" s="24"/>
      <c r="B31" s="25"/>
      <c r="C31" s="25"/>
      <c r="D31" s="26"/>
      <c r="E31" s="27"/>
      <c r="F31" s="27"/>
    </row>
    <row r="32" customFormat="false" ht="21.75" hidden="false" customHeight="true" outlineLevel="0" collapsed="false">
      <c r="A32" s="4"/>
      <c r="B32" s="28"/>
      <c r="C32" s="28"/>
      <c r="D32" s="4"/>
      <c r="E32" s="28"/>
      <c r="F32" s="28"/>
    </row>
    <row r="33" customFormat="false" ht="21.75" hidden="false" customHeight="true" outlineLevel="0" collapsed="false">
      <c r="A33" s="24"/>
      <c r="B33" s="25"/>
      <c r="C33" s="25"/>
      <c r="D33" s="26"/>
      <c r="E33" s="27"/>
      <c r="F33" s="27"/>
    </row>
    <row r="34" customFormat="false" ht="21.75" hidden="false" customHeight="true" outlineLevel="0" collapsed="false">
      <c r="A34" s="4"/>
      <c r="B34" s="28"/>
      <c r="C34" s="28"/>
      <c r="D34" s="4"/>
      <c r="E34" s="28"/>
      <c r="F34" s="28"/>
    </row>
    <row r="35" customFormat="false" ht="21.75" hidden="false" customHeight="true" outlineLevel="0" collapsed="false">
      <c r="A35" s="24"/>
      <c r="B35" s="25"/>
      <c r="C35" s="25"/>
      <c r="D35" s="26"/>
      <c r="E35" s="27"/>
      <c r="F35" s="27"/>
    </row>
    <row r="36" customFormat="false" ht="21.75" hidden="false" customHeight="true" outlineLevel="0" collapsed="false">
      <c r="A36" s="4"/>
      <c r="B36" s="28"/>
      <c r="C36" s="28"/>
      <c r="D36" s="4"/>
      <c r="E36" s="28"/>
      <c r="F36" s="28"/>
    </row>
  </sheetData>
  <mergeCells count="5">
    <mergeCell ref="A1:F1"/>
    <mergeCell ref="A2:F2"/>
    <mergeCell ref="A3:F3"/>
    <mergeCell ref="A5:C5"/>
    <mergeCell ref="D5:F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P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"/>
    <col collapsed="false" customWidth="true" hidden="false" outlineLevel="0" max="4" min="3" style="0" width="18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7" min="7" style="0" width="28"/>
    <col collapsed="false" customWidth="true" hidden="false" outlineLevel="0" max="8" min="8" style="0" width="16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26"/>
    <col collapsed="false" customWidth="true" hidden="false" outlineLevel="0" max="13" min="13" style="0" width="12"/>
    <col collapsed="false" customWidth="true" hidden="false" outlineLevel="0" max="14" min="14" style="0" width="32"/>
    <col collapsed="false" customWidth="true" hidden="false" outlineLevel="0" max="16" min="15" style="0" width="26"/>
  </cols>
  <sheetData>
    <row r="1" customFormat="false" ht="12" hidden="false" customHeight="true" outlineLevel="0" collapsed="false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customFormat="false" ht="37.5" hidden="false" customHeight="true" outlineLevel="0" collapsed="false">
      <c r="A2" s="30" t="s">
        <v>49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customFormat="false" ht="21.75" hidden="false" customHeight="true" outlineLevel="0" collapsed="false">
      <c r="A3" s="31" t="s">
        <v>50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customFormat="false" ht="7.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customFormat="false" ht="18" hidden="false" customHeight="true" outlineLevel="0" collapsed="false">
      <c r="A5" s="32" t="s">
        <v>51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3" t="s">
        <v>52</v>
      </c>
      <c r="N5" s="33"/>
      <c r="O5" s="33"/>
      <c r="P5" s="33"/>
    </row>
    <row r="6" customFormat="false" ht="36" hidden="false" customHeight="true" outlineLevel="0" collapsed="false">
      <c r="A6" s="23"/>
      <c r="B6" s="23" t="s">
        <v>53</v>
      </c>
      <c r="C6" s="23" t="s">
        <v>54</v>
      </c>
      <c r="D6" s="23" t="s">
        <v>55</v>
      </c>
      <c r="E6" s="23" t="s">
        <v>56</v>
      </c>
      <c r="F6" s="23" t="s">
        <v>57</v>
      </c>
      <c r="G6" s="23" t="s">
        <v>58</v>
      </c>
      <c r="H6" s="23" t="s">
        <v>59</v>
      </c>
      <c r="I6" s="23" t="s">
        <v>60</v>
      </c>
      <c r="J6" s="23" t="s">
        <v>61</v>
      </c>
      <c r="K6" s="23" t="s">
        <v>62</v>
      </c>
      <c r="L6" s="23" t="s">
        <v>63</v>
      </c>
      <c r="M6" s="22" t="s">
        <v>64</v>
      </c>
      <c r="N6" s="22" t="s">
        <v>65</v>
      </c>
      <c r="O6" s="22" t="s">
        <v>66</v>
      </c>
      <c r="P6" s="22" t="s">
        <v>67</v>
      </c>
    </row>
    <row r="7" customFormat="false" ht="21.75" hidden="false" customHeight="true" outlineLevel="0" collapsed="false">
      <c r="A7" s="27"/>
      <c r="B7" s="27" t="s">
        <v>68</v>
      </c>
      <c r="C7" s="27" t="s">
        <v>69</v>
      </c>
      <c r="D7" s="27" t="s">
        <v>70</v>
      </c>
      <c r="E7" s="27" t="s">
        <v>71</v>
      </c>
      <c r="F7" s="27" t="s">
        <v>72</v>
      </c>
      <c r="G7" s="27" t="s">
        <v>73</v>
      </c>
      <c r="H7" s="27" t="s">
        <v>74</v>
      </c>
      <c r="I7" s="27" t="s">
        <v>75</v>
      </c>
      <c r="J7" s="27" t="s">
        <v>76</v>
      </c>
      <c r="K7" s="27" t="s">
        <v>77</v>
      </c>
      <c r="L7" s="27"/>
      <c r="M7" s="34"/>
      <c r="N7" s="34"/>
      <c r="O7" s="34"/>
      <c r="P7" s="34"/>
    </row>
    <row r="8" customFormat="false" ht="21.75" hidden="false" customHeight="true" outlineLevel="0" collapsed="false">
      <c r="A8" s="28"/>
      <c r="B8" s="28" t="s">
        <v>78</v>
      </c>
      <c r="C8" s="28" t="s">
        <v>79</v>
      </c>
      <c r="D8" s="28" t="s">
        <v>80</v>
      </c>
      <c r="E8" s="28" t="s">
        <v>81</v>
      </c>
      <c r="F8" s="28" t="s">
        <v>82</v>
      </c>
      <c r="G8" s="28" t="s">
        <v>83</v>
      </c>
      <c r="H8" s="28" t="s">
        <v>74</v>
      </c>
      <c r="I8" s="28" t="s">
        <v>75</v>
      </c>
      <c r="J8" s="28" t="s">
        <v>84</v>
      </c>
      <c r="K8" s="28" t="s">
        <v>77</v>
      </c>
      <c r="L8" s="28"/>
      <c r="M8" s="34"/>
      <c r="N8" s="34"/>
      <c r="O8" s="34"/>
      <c r="P8" s="34"/>
    </row>
    <row r="9" customFormat="false" ht="21.75" hidden="false" customHeight="true" outlineLevel="0" collapsed="false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34"/>
      <c r="N9" s="34"/>
      <c r="O9" s="34"/>
      <c r="P9" s="34"/>
    </row>
    <row r="10" customFormat="false" ht="21.75" hidden="false" customHeight="true" outlineLevel="0" collapsed="false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34"/>
      <c r="N10" s="34"/>
      <c r="O10" s="34"/>
      <c r="P10" s="34"/>
    </row>
    <row r="11" customFormat="false" ht="21.75" hidden="false" customHeight="true" outlineLevel="0" collapsed="false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34"/>
      <c r="N11" s="34"/>
      <c r="O11" s="34"/>
      <c r="P11" s="34"/>
    </row>
    <row r="12" customFormat="false" ht="21.75" hidden="false" customHeight="true" outlineLevel="0" collapsed="false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34"/>
      <c r="N12" s="34"/>
      <c r="O12" s="34"/>
      <c r="P12" s="34"/>
    </row>
    <row r="13" customFormat="false" ht="21.75" hidden="false" customHeight="true" outlineLevel="0" collapsed="false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34"/>
      <c r="N13" s="34"/>
      <c r="O13" s="34"/>
      <c r="P13" s="34"/>
    </row>
    <row r="14" customFormat="false" ht="21.75" hidden="false" customHeight="true" outlineLevel="0" collapsed="false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34"/>
      <c r="N14" s="34"/>
      <c r="O14" s="34"/>
      <c r="P14" s="34"/>
    </row>
    <row r="15" customFormat="false" ht="21.75" hidden="false" customHeight="true" outlineLevel="0" collapsed="false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4"/>
      <c r="N15" s="34"/>
      <c r="O15" s="34"/>
      <c r="P15" s="34"/>
    </row>
    <row r="16" customFormat="false" ht="21.75" hidden="false" customHeight="true" outlineLevel="0" collapsed="false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34"/>
      <c r="N16" s="34"/>
      <c r="O16" s="34"/>
      <c r="P16" s="34"/>
    </row>
    <row r="17" customFormat="false" ht="21.75" hidden="false" customHeight="true" outlineLevel="0" collapsed="false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4"/>
      <c r="N17" s="34"/>
      <c r="O17" s="34"/>
      <c r="P17" s="34"/>
    </row>
    <row r="18" customFormat="false" ht="21.75" hidden="false" customHeight="true" outlineLevel="0" collapsed="false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34"/>
      <c r="N18" s="34"/>
      <c r="O18" s="34"/>
      <c r="P18" s="34"/>
    </row>
    <row r="19" customFormat="false" ht="21.75" hidden="false" customHeight="true" outlineLevel="0" collapsed="false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4"/>
      <c r="N19" s="34"/>
      <c r="O19" s="34"/>
      <c r="P19" s="34"/>
    </row>
    <row r="20" customFormat="false" ht="21.75" hidden="false" customHeight="true" outlineLevel="0" collapsed="false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34"/>
      <c r="N20" s="34"/>
      <c r="O20" s="34"/>
      <c r="P20" s="34"/>
    </row>
    <row r="21" customFormat="false" ht="21.75" hidden="false" customHeight="true" outlineLevel="0" collapsed="false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4"/>
      <c r="N21" s="34"/>
      <c r="O21" s="34"/>
      <c r="P21" s="34"/>
    </row>
    <row r="22" customFormat="false" ht="21.75" hidden="false" customHeight="true" outlineLevel="0" collapsed="false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34"/>
      <c r="N22" s="34"/>
      <c r="O22" s="34"/>
      <c r="P22" s="34"/>
    </row>
    <row r="23" customFormat="false" ht="21.75" hidden="false" customHeight="true" outlineLevel="0" collapsed="false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4"/>
      <c r="N23" s="34"/>
      <c r="O23" s="34"/>
      <c r="P23" s="34"/>
    </row>
    <row r="24" customFormat="false" ht="21.75" hidden="false" customHeight="true" outlineLevel="0" collapsed="false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34"/>
      <c r="N24" s="34"/>
      <c r="O24" s="34"/>
      <c r="P24" s="34"/>
    </row>
    <row r="25" customFormat="false" ht="21.75" hidden="false" customHeight="true" outlineLevel="0" collapsed="false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4"/>
      <c r="N25" s="34"/>
      <c r="O25" s="34"/>
      <c r="P25" s="34"/>
    </row>
    <row r="26" customFormat="false" ht="21.75" hidden="false" customHeight="true" outlineLevel="0" collapsed="false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34"/>
      <c r="N26" s="34"/>
      <c r="O26" s="34"/>
      <c r="P26" s="34"/>
    </row>
    <row r="27" customFormat="false" ht="21.75" hidden="false" customHeight="true" outlineLevel="0" collapsed="false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4"/>
      <c r="N27" s="34"/>
      <c r="O27" s="34"/>
      <c r="P27" s="34"/>
    </row>
    <row r="28" customFormat="false" ht="21.75" hidden="false" customHeight="true" outlineLevel="0" collapsed="false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34"/>
      <c r="N28" s="34"/>
      <c r="O28" s="34"/>
      <c r="P28" s="34"/>
    </row>
    <row r="29" customFormat="false" ht="21.75" hidden="false" customHeight="true" outlineLevel="0" collapsed="false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4"/>
      <c r="N29" s="34"/>
      <c r="O29" s="34"/>
      <c r="P29" s="34"/>
    </row>
    <row r="30" customFormat="false" ht="21.75" hidden="false" customHeight="true" outlineLevel="0" collapsed="false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34"/>
      <c r="N30" s="34"/>
      <c r="O30" s="34"/>
      <c r="P30" s="34"/>
    </row>
    <row r="31" customFormat="false" ht="21.75" hidden="false" customHeight="true" outlineLevel="0" collapsed="false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34"/>
      <c r="N31" s="34"/>
      <c r="O31" s="34"/>
      <c r="P31" s="34"/>
    </row>
    <row r="32" customFormat="false" ht="21.75" hidden="false" customHeight="true" outlineLevel="0" collapsed="false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34"/>
      <c r="N32" s="34"/>
      <c r="O32" s="34"/>
      <c r="P32" s="34"/>
    </row>
    <row r="33" customFormat="false" ht="21.75" hidden="false" customHeight="true" outlineLevel="0" collapsed="false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34"/>
      <c r="N33" s="34"/>
      <c r="O33" s="34"/>
      <c r="P33" s="34"/>
    </row>
    <row r="34" customFormat="false" ht="21.75" hidden="false" customHeight="true" outlineLevel="0" collapsed="false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34"/>
      <c r="N34" s="34"/>
      <c r="O34" s="34"/>
      <c r="P34" s="34"/>
    </row>
    <row r="35" customFormat="false" ht="21.75" hidden="false" customHeight="true" outlineLevel="0" collapsed="false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34"/>
      <c r="N35" s="34"/>
      <c r="O35" s="34"/>
      <c r="P35" s="34"/>
    </row>
    <row r="36" customFormat="false" ht="21.75" hidden="false" customHeight="true" outlineLevel="0" collapsed="false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34"/>
      <c r="N36" s="34"/>
      <c r="O36" s="34"/>
      <c r="P36" s="34"/>
    </row>
    <row r="37" customFormat="false" ht="21.75" hidden="false" customHeight="true" outlineLevel="0" collapsed="false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34"/>
      <c r="N37" s="34"/>
      <c r="O37" s="34"/>
      <c r="P37" s="34"/>
    </row>
    <row r="38" customFormat="false" ht="21.75" hidden="false" customHeight="true" outlineLevel="0" collapsed="false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34"/>
      <c r="N38" s="34"/>
      <c r="O38" s="34"/>
      <c r="P38" s="34"/>
    </row>
    <row r="39" customFormat="false" ht="21.75" hidden="false" customHeight="true" outlineLevel="0" collapsed="false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34"/>
      <c r="N39" s="34"/>
      <c r="O39" s="34"/>
      <c r="P39" s="34"/>
    </row>
    <row r="40" customFormat="false" ht="21.75" hidden="false" customHeight="true" outlineLevel="0" collapsed="false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34"/>
      <c r="N40" s="34"/>
      <c r="O40" s="34"/>
      <c r="P40" s="34"/>
    </row>
    <row r="41" customFormat="false" ht="21.75" hidden="false" customHeight="true" outlineLevel="0" collapsed="false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34"/>
      <c r="N41" s="34"/>
      <c r="O41" s="34"/>
      <c r="P41" s="34"/>
    </row>
    <row r="42" customFormat="false" ht="21.75" hidden="false" customHeight="true" outlineLevel="0" collapsed="false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34"/>
      <c r="N42" s="34"/>
      <c r="O42" s="34"/>
      <c r="P42" s="34"/>
    </row>
    <row r="43" customFormat="false" ht="21.75" hidden="false" customHeight="true" outlineLevel="0" collapsed="false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34"/>
      <c r="N43" s="34"/>
      <c r="O43" s="34"/>
      <c r="P43" s="34"/>
    </row>
    <row r="44" customFormat="false" ht="21.75" hidden="false" customHeight="true" outlineLevel="0" collapsed="false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34"/>
      <c r="N44" s="34"/>
      <c r="O44" s="34"/>
      <c r="P44" s="34"/>
    </row>
    <row r="45" customFormat="false" ht="21.75" hidden="false" customHeight="true" outlineLevel="0" collapsed="false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34"/>
      <c r="N45" s="34"/>
      <c r="O45" s="34"/>
      <c r="P45" s="34"/>
    </row>
    <row r="46" customFormat="false" ht="21.75" hidden="false" customHeight="true" outlineLevel="0" collapsed="false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34"/>
      <c r="N46" s="34"/>
      <c r="O46" s="34"/>
      <c r="P46" s="34"/>
    </row>
    <row r="47" customFormat="false" ht="21.75" hidden="false" customHeight="true" outlineLevel="0" collapsed="false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34"/>
      <c r="N47" s="34"/>
      <c r="O47" s="34"/>
      <c r="P47" s="34"/>
    </row>
    <row r="48" customFormat="false" ht="21.75" hidden="false" customHeight="true" outlineLevel="0" collapsed="false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34"/>
      <c r="N48" s="34"/>
      <c r="O48" s="34"/>
      <c r="P48" s="34"/>
    </row>
    <row r="49" customFormat="false" ht="21.75" hidden="false" customHeight="true" outlineLevel="0" collapsed="false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34"/>
      <c r="N49" s="34"/>
      <c r="O49" s="34"/>
      <c r="P49" s="34"/>
    </row>
    <row r="50" customFormat="false" ht="21.75" hidden="false" customHeight="true" outlineLevel="0" collapsed="false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34"/>
      <c r="N50" s="34"/>
      <c r="O50" s="34"/>
      <c r="P50" s="34"/>
    </row>
    <row r="51" customFormat="false" ht="21.75" hidden="false" customHeight="true" outlineLevel="0" collapsed="false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34"/>
      <c r="N51" s="34"/>
      <c r="O51" s="34"/>
      <c r="P51" s="34"/>
    </row>
    <row r="52" customFormat="false" ht="21.75" hidden="false" customHeight="true" outlineLevel="0" collapsed="false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34"/>
      <c r="N52" s="34"/>
      <c r="O52" s="34"/>
      <c r="P52" s="34"/>
    </row>
    <row r="53" customFormat="false" ht="21.75" hidden="false" customHeight="true" outlineLevel="0" collapsed="false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34"/>
      <c r="N53" s="34"/>
      <c r="O53" s="34"/>
      <c r="P53" s="34"/>
    </row>
    <row r="54" customFormat="false" ht="21.75" hidden="false" customHeight="true" outlineLevel="0" collapsed="false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34"/>
      <c r="N54" s="34"/>
      <c r="O54" s="34"/>
      <c r="P54" s="34"/>
    </row>
    <row r="55" customFormat="false" ht="21.75" hidden="false" customHeight="true" outlineLevel="0" collapsed="false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34"/>
      <c r="N55" s="34"/>
      <c r="O55" s="34"/>
      <c r="P55" s="34"/>
    </row>
    <row r="56" customFormat="false" ht="21.75" hidden="false" customHeight="true" outlineLevel="0" collapsed="false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34"/>
      <c r="N56" s="34"/>
      <c r="O56" s="34"/>
      <c r="P56" s="34"/>
    </row>
    <row r="57" customFormat="false" ht="21.75" hidden="false" customHeight="true" outlineLevel="0" collapsed="false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34"/>
      <c r="N57" s="34"/>
      <c r="O57" s="34"/>
      <c r="P57" s="34"/>
    </row>
    <row r="58" customFormat="false" ht="21.75" hidden="false" customHeight="true" outlineLevel="0" collapsed="false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34"/>
      <c r="N58" s="34"/>
      <c r="O58" s="34"/>
      <c r="P58" s="34"/>
    </row>
    <row r="59" customFormat="false" ht="21.75" hidden="false" customHeight="true" outlineLevel="0" collapsed="false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34"/>
      <c r="N59" s="34"/>
      <c r="O59" s="34"/>
      <c r="P59" s="34"/>
    </row>
    <row r="60" customFormat="false" ht="21.75" hidden="false" customHeight="true" outlineLevel="0" collapsed="false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34"/>
      <c r="N60" s="34"/>
      <c r="O60" s="34"/>
      <c r="P60" s="34"/>
    </row>
    <row r="61" customFormat="false" ht="21.75" hidden="false" customHeight="true" outlineLevel="0" collapsed="false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34"/>
      <c r="N61" s="34"/>
      <c r="O61" s="34"/>
      <c r="P61" s="34"/>
    </row>
    <row r="62" customFormat="false" ht="21.75" hidden="false" customHeight="true" outlineLevel="0" collapsed="false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34"/>
      <c r="N62" s="34"/>
      <c r="O62" s="34"/>
      <c r="P62" s="34"/>
    </row>
    <row r="63" customFormat="false" ht="21.75" hidden="false" customHeight="true" outlineLevel="0" collapsed="false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34"/>
      <c r="N63" s="34"/>
      <c r="O63" s="34"/>
      <c r="P63" s="34"/>
    </row>
    <row r="64" customFormat="false" ht="21.75" hidden="false" customHeight="true" outlineLevel="0" collapsed="false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34"/>
      <c r="N64" s="34"/>
      <c r="O64" s="34"/>
      <c r="P64" s="34"/>
    </row>
    <row r="65" customFormat="false" ht="21.75" hidden="false" customHeight="true" outlineLevel="0" collapsed="false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34"/>
      <c r="N65" s="34"/>
      <c r="O65" s="34"/>
      <c r="P65" s="34"/>
    </row>
    <row r="66" customFormat="false" ht="21.75" hidden="false" customHeight="true" outlineLevel="0" collapsed="false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34"/>
      <c r="N66" s="34"/>
      <c r="O66" s="34"/>
      <c r="P66" s="34"/>
    </row>
    <row r="67" customFormat="false" ht="21.75" hidden="false" customHeight="true" outlineLevel="0" collapsed="false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34"/>
      <c r="N67" s="34"/>
      <c r="O67" s="34"/>
      <c r="P67" s="34"/>
    </row>
    <row r="68" customFormat="false" ht="21.75" hidden="false" customHeight="true" outlineLevel="0" collapsed="false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34"/>
      <c r="N68" s="34"/>
      <c r="O68" s="34"/>
      <c r="P68" s="34"/>
    </row>
    <row r="69" customFormat="false" ht="21.75" hidden="false" customHeight="true" outlineLevel="0" collapsed="false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34"/>
      <c r="N69" s="34"/>
      <c r="O69" s="34"/>
      <c r="P69" s="34"/>
    </row>
    <row r="70" customFormat="false" ht="21.75" hidden="false" customHeight="true" outlineLevel="0" collapsed="false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34"/>
      <c r="N70" s="34"/>
      <c r="O70" s="34"/>
      <c r="P70" s="34"/>
    </row>
    <row r="71" customFormat="false" ht="21.75" hidden="false" customHeight="true" outlineLevel="0" collapsed="false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34"/>
      <c r="N71" s="34"/>
      <c r="O71" s="34"/>
      <c r="P71" s="34"/>
    </row>
    <row r="72" customFormat="false" ht="21.75" hidden="false" customHeight="true" outlineLevel="0" collapsed="false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34"/>
      <c r="N72" s="34"/>
      <c r="O72" s="34"/>
      <c r="P72" s="34"/>
    </row>
    <row r="73" customFormat="false" ht="21.75" hidden="false" customHeight="true" outlineLevel="0" collapsed="false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34"/>
      <c r="N73" s="34"/>
      <c r="O73" s="34"/>
      <c r="P73" s="34"/>
    </row>
    <row r="74" customFormat="false" ht="21.75" hidden="false" customHeight="true" outlineLevel="0" collapsed="false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34"/>
      <c r="N74" s="34"/>
      <c r="O74" s="34"/>
      <c r="P74" s="34"/>
    </row>
    <row r="75" customFormat="false" ht="21.75" hidden="false" customHeight="true" outlineLevel="0" collapsed="false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34"/>
      <c r="N75" s="34"/>
      <c r="O75" s="34"/>
      <c r="P75" s="34"/>
    </row>
    <row r="76" customFormat="false" ht="21.75" hidden="false" customHeight="true" outlineLevel="0" collapsed="false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34"/>
      <c r="N76" s="34"/>
      <c r="O76" s="34"/>
      <c r="P76" s="34"/>
    </row>
    <row r="77" customFormat="false" ht="21.75" hidden="false" customHeight="true" outlineLevel="0" collapsed="false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34"/>
      <c r="N77" s="34"/>
      <c r="O77" s="34"/>
      <c r="P77" s="34"/>
    </row>
    <row r="78" customFormat="false" ht="21.75" hidden="false" customHeight="true" outlineLevel="0" collapsed="false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34"/>
      <c r="N78" s="34"/>
      <c r="O78" s="34"/>
      <c r="P78" s="34"/>
    </row>
    <row r="79" customFormat="false" ht="21.75" hidden="false" customHeight="true" outlineLevel="0" collapsed="false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34"/>
      <c r="N79" s="34"/>
      <c r="O79" s="34"/>
      <c r="P79" s="34"/>
    </row>
    <row r="80" customFormat="false" ht="21.75" hidden="false" customHeight="true" outlineLevel="0" collapsed="false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34"/>
      <c r="N80" s="34"/>
      <c r="O80" s="34"/>
      <c r="P80" s="34"/>
    </row>
    <row r="81" customFormat="false" ht="21.75" hidden="false" customHeight="true" outlineLevel="0" collapsed="false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34"/>
      <c r="N81" s="34"/>
      <c r="O81" s="34"/>
      <c r="P81" s="34"/>
    </row>
    <row r="82" customFormat="false" ht="21.75" hidden="false" customHeight="true" outlineLevel="0" collapsed="false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34"/>
      <c r="N82" s="34"/>
      <c r="O82" s="34"/>
      <c r="P82" s="34"/>
    </row>
    <row r="83" customFormat="false" ht="21.75" hidden="false" customHeight="true" outlineLevel="0" collapsed="false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34"/>
      <c r="N83" s="34"/>
      <c r="O83" s="34"/>
      <c r="P83" s="34"/>
    </row>
    <row r="84" customFormat="false" ht="21.75" hidden="false" customHeight="true" outlineLevel="0" collapsed="false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34"/>
      <c r="N84" s="34"/>
      <c r="O84" s="34"/>
      <c r="P84" s="34"/>
    </row>
    <row r="85" customFormat="false" ht="21.75" hidden="false" customHeight="true" outlineLevel="0" collapsed="false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34"/>
      <c r="N85" s="34"/>
      <c r="O85" s="34"/>
      <c r="P85" s="34"/>
    </row>
    <row r="86" customFormat="false" ht="21.75" hidden="false" customHeight="true" outlineLevel="0" collapsed="false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34"/>
      <c r="N86" s="34"/>
      <c r="O86" s="34"/>
      <c r="P86" s="34"/>
    </row>
    <row r="87" customFormat="false" ht="21.75" hidden="false" customHeight="true" outlineLevel="0" collapsed="false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34"/>
      <c r="N87" s="34"/>
      <c r="O87" s="34"/>
      <c r="P87" s="34"/>
    </row>
    <row r="88" customFormat="false" ht="21.75" hidden="false" customHeight="true" outlineLevel="0" collapsed="false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34"/>
      <c r="N88" s="34"/>
      <c r="O88" s="34"/>
      <c r="P88" s="34"/>
    </row>
    <row r="89" customFormat="false" ht="21.75" hidden="false" customHeight="true" outlineLevel="0" collapsed="false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34"/>
      <c r="N89" s="34"/>
      <c r="O89" s="34"/>
      <c r="P89" s="34"/>
    </row>
    <row r="90" customFormat="false" ht="21.75" hidden="false" customHeight="true" outlineLevel="0" collapsed="false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34"/>
      <c r="N90" s="34"/>
      <c r="O90" s="34"/>
      <c r="P90" s="34"/>
    </row>
    <row r="91" customFormat="false" ht="21.75" hidden="false" customHeight="true" outlineLevel="0" collapsed="false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34"/>
      <c r="N91" s="34"/>
      <c r="O91" s="34"/>
      <c r="P91" s="34"/>
    </row>
    <row r="92" customFormat="false" ht="21.75" hidden="false" customHeight="true" outlineLevel="0" collapsed="false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34"/>
      <c r="N92" s="34"/>
      <c r="O92" s="34"/>
      <c r="P92" s="34"/>
    </row>
    <row r="93" customFormat="false" ht="21.75" hidden="false" customHeight="true" outlineLevel="0" collapsed="false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34"/>
      <c r="N93" s="34"/>
      <c r="O93" s="34"/>
      <c r="P93" s="34"/>
    </row>
    <row r="94" customFormat="false" ht="21.75" hidden="false" customHeight="true" outlineLevel="0" collapsed="false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34"/>
      <c r="N94" s="34"/>
      <c r="O94" s="34"/>
      <c r="P94" s="34"/>
    </row>
    <row r="95" customFormat="false" ht="21.75" hidden="false" customHeight="true" outlineLevel="0" collapsed="false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34"/>
      <c r="N95" s="34"/>
      <c r="O95" s="34"/>
      <c r="P95" s="34"/>
    </row>
    <row r="96" customFormat="false" ht="21.75" hidden="false" customHeight="true" outlineLevel="0" collapsed="false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34"/>
      <c r="N96" s="34"/>
      <c r="O96" s="34"/>
      <c r="P96" s="34"/>
    </row>
    <row r="97" customFormat="false" ht="21.75" hidden="false" customHeight="true" outlineLevel="0" collapsed="false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34"/>
      <c r="N97" s="34"/>
      <c r="O97" s="34"/>
      <c r="P97" s="34"/>
    </row>
    <row r="98" customFormat="false" ht="21.75" hidden="false" customHeight="true" outlineLevel="0" collapsed="false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34"/>
      <c r="N98" s="34"/>
      <c r="O98" s="34"/>
      <c r="P98" s="34"/>
    </row>
    <row r="99" customFormat="false" ht="21.75" hidden="false" customHeight="true" outlineLevel="0" collapsed="false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34"/>
      <c r="N99" s="34"/>
      <c r="O99" s="34"/>
      <c r="P99" s="34"/>
    </row>
    <row r="100" customFormat="false" ht="21.75" hidden="false" customHeight="true" outlineLevel="0" collapsed="false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34"/>
      <c r="N100" s="34"/>
      <c r="O100" s="34"/>
      <c r="P100" s="34"/>
    </row>
    <row r="101" customFormat="false" ht="21.75" hidden="false" customHeight="true" outlineLevel="0" collapsed="false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34"/>
      <c r="N101" s="34"/>
      <c r="O101" s="34"/>
      <c r="P101" s="34"/>
    </row>
    <row r="102" customFormat="false" ht="21.75" hidden="false" customHeight="true" outlineLevel="0" collapsed="false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34"/>
      <c r="N102" s="34"/>
      <c r="O102" s="34"/>
      <c r="P102" s="34"/>
    </row>
    <row r="103" customFormat="false" ht="21.75" hidden="false" customHeight="true" outlineLevel="0" collapsed="false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34"/>
      <c r="N103" s="34"/>
      <c r="O103" s="34"/>
      <c r="P103" s="34"/>
    </row>
    <row r="104" customFormat="false" ht="21.75" hidden="false" customHeight="true" outlineLevel="0" collapsed="false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34"/>
      <c r="N104" s="34"/>
      <c r="O104" s="34"/>
      <c r="P104" s="34"/>
    </row>
    <row r="105" customFormat="false" ht="21.75" hidden="false" customHeight="true" outlineLevel="0" collapsed="false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34"/>
      <c r="N105" s="34"/>
      <c r="O105" s="34"/>
      <c r="P105" s="34"/>
    </row>
    <row r="106" customFormat="false" ht="21.75" hidden="false" customHeight="true" outlineLevel="0" collapsed="false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34"/>
      <c r="N106" s="34"/>
      <c r="O106" s="34"/>
      <c r="P106" s="34"/>
    </row>
  </sheetData>
  <mergeCells count="5">
    <mergeCell ref="A1:P1"/>
    <mergeCell ref="A2:P2"/>
    <mergeCell ref="A3:P3"/>
    <mergeCell ref="A5:L5"/>
    <mergeCell ref="M5:P5"/>
  </mergeCells>
  <dataValidations count="1">
    <dataValidation allowBlank="true" errorStyle="stop" operator="between" showDropDown="false" showErrorMessage="false" showInputMessage="false" sqref="K7:K106" type="list">
      <formula1>"Active,Inactive,Pending,Suspended"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U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26"/>
    <col collapsed="false" customWidth="true" hidden="false" outlineLevel="0" max="10" min="10" style="0" width="22"/>
    <col collapsed="false" customWidth="true" hidden="false" outlineLevel="0" max="11" min="11" style="0" width="13"/>
    <col collapsed="false" customWidth="true" hidden="false" outlineLevel="0" max="12" min="12" style="0" width="22"/>
    <col collapsed="false" customWidth="true" hidden="false" outlineLevel="0" max="14" min="13" style="0" width="13"/>
    <col collapsed="false" customWidth="true" hidden="false" outlineLevel="0" max="15" min="15" style="0" width="16"/>
    <col collapsed="false" customWidth="true" hidden="false" outlineLevel="0" max="16" min="16" style="0" width="17"/>
    <col collapsed="false" customWidth="true" hidden="false" outlineLevel="0" max="18" min="17" style="0" width="15"/>
    <col collapsed="false" customWidth="true" hidden="false" outlineLevel="0" max="19" min="19" style="0" width="13"/>
    <col collapsed="false" customWidth="true" hidden="false" outlineLevel="0" max="20" min="20" style="0" width="14"/>
    <col collapsed="false" customWidth="true" hidden="false" outlineLevel="0" max="21" min="21" style="0" width="26"/>
  </cols>
  <sheetData>
    <row r="1" customFormat="false" ht="12" hidden="false" customHeight="true" outlineLevel="0" collapsed="false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</row>
    <row r="2" customFormat="false" ht="37.5" hidden="false" customHeight="true" outlineLevel="0" collapsed="false">
      <c r="A2" s="36" t="s">
        <v>85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customFormat="false" ht="21.75" hidden="false" customHeight="true" outlineLevel="0" collapsed="false">
      <c r="A3" s="37" t="s">
        <v>86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</row>
    <row r="4" customFormat="false" ht="7.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customFormat="false" ht="15.75" hidden="false" customHeight="true" outlineLevel="0" collapsed="false">
      <c r="A5" s="38" t="s">
        <v>87</v>
      </c>
      <c r="B5" s="38"/>
      <c r="C5" s="38"/>
      <c r="D5" s="38"/>
      <c r="E5" s="38"/>
      <c r="F5" s="38"/>
      <c r="G5" s="38"/>
      <c r="H5" s="38"/>
      <c r="I5" s="38"/>
      <c r="J5" s="33" t="s">
        <v>88</v>
      </c>
      <c r="K5" s="33"/>
      <c r="L5" s="33"/>
      <c r="M5" s="33"/>
      <c r="N5" s="32" t="s">
        <v>89</v>
      </c>
      <c r="O5" s="32"/>
      <c r="P5" s="32"/>
      <c r="Q5" s="32"/>
      <c r="R5" s="32"/>
      <c r="S5" s="39" t="s">
        <v>90</v>
      </c>
      <c r="T5" s="39"/>
      <c r="U5" s="39"/>
    </row>
    <row r="6" customFormat="false" ht="37.5" hidden="false" customHeight="true" outlineLevel="0" collapsed="false">
      <c r="A6" s="40"/>
      <c r="B6" s="40" t="s">
        <v>91</v>
      </c>
      <c r="C6" s="40" t="s">
        <v>54</v>
      </c>
      <c r="D6" s="40" t="s">
        <v>55</v>
      </c>
      <c r="E6" s="40" t="s">
        <v>92</v>
      </c>
      <c r="F6" s="40" t="s">
        <v>93</v>
      </c>
      <c r="G6" s="40" t="s">
        <v>94</v>
      </c>
      <c r="H6" s="40" t="s">
        <v>57</v>
      </c>
      <c r="I6" s="40" t="s">
        <v>95</v>
      </c>
      <c r="J6" s="22" t="s">
        <v>25</v>
      </c>
      <c r="K6" s="22" t="s">
        <v>96</v>
      </c>
      <c r="L6" s="22" t="s">
        <v>27</v>
      </c>
      <c r="M6" s="22" t="s">
        <v>97</v>
      </c>
      <c r="N6" s="23" t="s">
        <v>98</v>
      </c>
      <c r="O6" s="23" t="s">
        <v>99</v>
      </c>
      <c r="P6" s="23" t="s">
        <v>100</v>
      </c>
      <c r="Q6" s="23" t="s">
        <v>101</v>
      </c>
      <c r="R6" s="23" t="s">
        <v>102</v>
      </c>
      <c r="S6" s="41" t="s">
        <v>103</v>
      </c>
      <c r="T6" s="41" t="s">
        <v>104</v>
      </c>
      <c r="U6" s="41" t="s">
        <v>63</v>
      </c>
    </row>
    <row r="7" customFormat="false" ht="21.75" hidden="false" customHeight="true" outlineLevel="0" collapsed="false">
      <c r="A7" s="42"/>
      <c r="B7" s="42" t="s">
        <v>105</v>
      </c>
      <c r="C7" s="42" t="s">
        <v>106</v>
      </c>
      <c r="D7" s="42" t="s">
        <v>107</v>
      </c>
      <c r="E7" s="42" t="s">
        <v>108</v>
      </c>
      <c r="F7" s="42" t="s">
        <v>109</v>
      </c>
      <c r="G7" s="42"/>
      <c r="H7" s="42" t="s">
        <v>110</v>
      </c>
      <c r="I7" s="42" t="s">
        <v>71</v>
      </c>
      <c r="J7" s="42" t="s">
        <v>29</v>
      </c>
      <c r="K7" s="42" t="s">
        <v>30</v>
      </c>
      <c r="L7" s="42" t="s">
        <v>31</v>
      </c>
      <c r="M7" s="42" t="s">
        <v>32</v>
      </c>
      <c r="N7" s="42" t="s">
        <v>111</v>
      </c>
      <c r="O7" s="42" t="s">
        <v>77</v>
      </c>
      <c r="P7" s="42" t="s">
        <v>112</v>
      </c>
      <c r="Q7" s="42" t="s">
        <v>113</v>
      </c>
      <c r="R7" s="42" t="s">
        <v>114</v>
      </c>
      <c r="S7" s="43" t="n">
        <f aca="true">IF(R7="","",MAX(0,INT(R7-TODAY())))</f>
        <v>91</v>
      </c>
      <c r="T7" s="44" t="str">
        <f aca="true">IF(R7="","",IF(R7&lt;TODAY(),"EXPIRED",IF(R7-TODAY()&lt;=30,"EXPIRING SOON","Active")))</f>
        <v>Active</v>
      </c>
      <c r="U7" s="42"/>
    </row>
    <row r="8" customFormat="false" ht="21.75" hidden="false" customHeight="true" outlineLevel="0" collapsed="false">
      <c r="A8" s="28"/>
      <c r="B8" s="28" t="s">
        <v>115</v>
      </c>
      <c r="C8" s="28" t="s">
        <v>116</v>
      </c>
      <c r="D8" s="28" t="s">
        <v>80</v>
      </c>
      <c r="E8" s="28" t="s">
        <v>117</v>
      </c>
      <c r="F8" s="28" t="s">
        <v>109</v>
      </c>
      <c r="G8" s="28" t="s">
        <v>118</v>
      </c>
      <c r="H8" s="28" t="s">
        <v>119</v>
      </c>
      <c r="I8" s="28" t="s">
        <v>81</v>
      </c>
      <c r="J8" s="28" t="s">
        <v>33</v>
      </c>
      <c r="K8" s="28" t="s">
        <v>34</v>
      </c>
      <c r="L8" s="28" t="s">
        <v>35</v>
      </c>
      <c r="M8" s="28" t="s">
        <v>36</v>
      </c>
      <c r="N8" s="28" t="s">
        <v>111</v>
      </c>
      <c r="O8" s="28" t="s">
        <v>77</v>
      </c>
      <c r="P8" s="28" t="s">
        <v>120</v>
      </c>
      <c r="Q8" s="28" t="s">
        <v>121</v>
      </c>
      <c r="R8" s="28" t="s">
        <v>122</v>
      </c>
      <c r="S8" s="43" t="n">
        <f aca="true">IF(R8="","",MAX(0,INT(R8-TODAY())))</f>
        <v>1</v>
      </c>
      <c r="T8" s="44" t="str">
        <f aca="true">IF(R8="","",IF(R8&lt;TODAY(),"EXPIRED",IF(R8-TODAY()&lt;=30,"EXPIRING SOON","Active")))</f>
        <v>EXPIRING SOON</v>
      </c>
      <c r="U8" s="28"/>
    </row>
    <row r="9" customFormat="false" ht="21.75" hidden="false" customHeight="true" outlineLevel="0" collapsed="false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3" t="str">
        <f aca="true">IF(R9="","",MAX(0,INT(R9-TODAY())))</f>
        <v/>
      </c>
      <c r="T9" s="44" t="str">
        <f aca="true">IF(R9="","",IF(R9&lt;TODAY(),"EXPIRED",IF(R9-TODAY()&lt;=30,"EXPIRING SOON","Active")))</f>
        <v/>
      </c>
      <c r="U9" s="42"/>
    </row>
    <row r="10" customFormat="false" ht="21.75" hidden="false" customHeight="true" outlineLevel="0" collapsed="false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43" t="str">
        <f aca="true">IF(R10="","",MAX(0,INT(R10-TODAY())))</f>
        <v/>
      </c>
      <c r="T10" s="44" t="str">
        <f aca="true">IF(R10="","",IF(R10&lt;TODAY(),"EXPIRED",IF(R10-TODAY()&lt;=30,"EXPIRING SOON","Active")))</f>
        <v/>
      </c>
      <c r="U10" s="28"/>
    </row>
    <row r="11" customFormat="false" ht="21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3" t="str">
        <f aca="true">IF(R11="","",MAX(0,INT(R11-TODAY())))</f>
        <v/>
      </c>
      <c r="T11" s="44" t="str">
        <f aca="true">IF(R11="","",IF(R11&lt;TODAY(),"EXPIRED",IF(R11-TODAY()&lt;=30,"EXPIRING SOON","Active")))</f>
        <v/>
      </c>
      <c r="U11" s="42"/>
    </row>
    <row r="12" customFormat="false" ht="21.75" hidden="false" customHeight="true" outlineLevel="0" collapsed="false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43" t="str">
        <f aca="true">IF(R12="","",MAX(0,INT(R12-TODAY())))</f>
        <v/>
      </c>
      <c r="T12" s="44" t="str">
        <f aca="true">IF(R12="","",IF(R12&lt;TODAY(),"EXPIRED",IF(R12-TODAY()&lt;=30,"EXPIRING SOON","Active")))</f>
        <v/>
      </c>
      <c r="U12" s="28"/>
    </row>
    <row r="13" customFormat="false" ht="21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3" t="str">
        <f aca="true">IF(R13="","",MAX(0,INT(R13-TODAY())))</f>
        <v/>
      </c>
      <c r="T13" s="44" t="str">
        <f aca="true">IF(R13="","",IF(R13&lt;TODAY(),"EXPIRED",IF(R13-TODAY()&lt;=30,"EXPIRING SOON","Active")))</f>
        <v/>
      </c>
      <c r="U13" s="42"/>
    </row>
    <row r="14" customFormat="false" ht="21.75" hidden="false" customHeight="true" outlineLevel="0" collapsed="false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43" t="str">
        <f aca="true">IF(R14="","",MAX(0,INT(R14-TODAY())))</f>
        <v/>
      </c>
      <c r="T14" s="44" t="str">
        <f aca="true">IF(R14="","",IF(R14&lt;TODAY(),"EXPIRED",IF(R14-TODAY()&lt;=30,"EXPIRING SOON","Active")))</f>
        <v/>
      </c>
      <c r="U14" s="28"/>
    </row>
    <row r="15" customFormat="false" ht="21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3" t="str">
        <f aca="true">IF(R15="","",MAX(0,INT(R15-TODAY())))</f>
        <v/>
      </c>
      <c r="T15" s="44" t="str">
        <f aca="true">IF(R15="","",IF(R15&lt;TODAY(),"EXPIRED",IF(R15-TODAY()&lt;=30,"EXPIRING SOON","Active")))</f>
        <v/>
      </c>
      <c r="U15" s="42"/>
    </row>
    <row r="16" customFormat="false" ht="21.75" hidden="false" customHeight="true" outlineLevel="0" collapsed="false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43" t="str">
        <f aca="true">IF(R16="","",MAX(0,INT(R16-TODAY())))</f>
        <v/>
      </c>
      <c r="T16" s="44" t="str">
        <f aca="true">IF(R16="","",IF(R16&lt;TODAY(),"EXPIRED",IF(R16-TODAY()&lt;=30,"EXPIRING SOON","Active")))</f>
        <v/>
      </c>
      <c r="U16" s="28"/>
    </row>
    <row r="17" customFormat="false" ht="21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3" t="str">
        <f aca="true">IF(R17="","",MAX(0,INT(R17-TODAY())))</f>
        <v/>
      </c>
      <c r="T17" s="44" t="str">
        <f aca="true">IF(R17="","",IF(R17&lt;TODAY(),"EXPIRED",IF(R17-TODAY()&lt;=30,"EXPIRING SOON","Active")))</f>
        <v/>
      </c>
      <c r="U17" s="42"/>
    </row>
    <row r="18" customFormat="false" ht="21.75" hidden="false" customHeight="true" outlineLevel="0" collapsed="false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43" t="str">
        <f aca="true">IF(R18="","",MAX(0,INT(R18-TODAY())))</f>
        <v/>
      </c>
      <c r="T18" s="44" t="str">
        <f aca="true">IF(R18="","",IF(R18&lt;TODAY(),"EXPIRED",IF(R18-TODAY()&lt;=30,"EXPIRING SOON","Active")))</f>
        <v/>
      </c>
      <c r="U18" s="28"/>
    </row>
    <row r="19" customFormat="false" ht="21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3" t="str">
        <f aca="true">IF(R19="","",MAX(0,INT(R19-TODAY())))</f>
        <v/>
      </c>
      <c r="T19" s="44" t="str">
        <f aca="true">IF(R19="","",IF(R19&lt;TODAY(),"EXPIRED",IF(R19-TODAY()&lt;=30,"EXPIRING SOON","Active")))</f>
        <v/>
      </c>
      <c r="U19" s="42"/>
    </row>
    <row r="20" customFormat="false" ht="21.75" hidden="false" customHeight="true" outlineLevel="0" collapsed="false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43" t="str">
        <f aca="true">IF(R20="","",MAX(0,INT(R20-TODAY())))</f>
        <v/>
      </c>
      <c r="T20" s="44" t="str">
        <f aca="true">IF(R20="","",IF(R20&lt;TODAY(),"EXPIRED",IF(R20-TODAY()&lt;=30,"EXPIRING SOON","Active")))</f>
        <v/>
      </c>
      <c r="U20" s="28"/>
    </row>
    <row r="21" customFormat="false" ht="21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3" t="str">
        <f aca="true">IF(R21="","",MAX(0,INT(R21-TODAY())))</f>
        <v/>
      </c>
      <c r="T21" s="44" t="str">
        <f aca="true">IF(R21="","",IF(R21&lt;TODAY(),"EXPIRED",IF(R21-TODAY()&lt;=30,"EXPIRING SOON","Active")))</f>
        <v/>
      </c>
      <c r="U21" s="42"/>
    </row>
    <row r="22" customFormat="false" ht="21.75" hidden="false" customHeight="true" outlineLevel="0" collapsed="false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43" t="str">
        <f aca="true">IF(R22="","",MAX(0,INT(R22-TODAY())))</f>
        <v/>
      </c>
      <c r="T22" s="44" t="str">
        <f aca="true">IF(R22="","",IF(R22&lt;TODAY(),"EXPIRED",IF(R22-TODAY()&lt;=30,"EXPIRING SOON","Active")))</f>
        <v/>
      </c>
      <c r="U22" s="28"/>
    </row>
    <row r="23" customFormat="false" ht="21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3" t="str">
        <f aca="true">IF(R23="","",MAX(0,INT(R23-TODAY())))</f>
        <v/>
      </c>
      <c r="T23" s="44" t="str">
        <f aca="true">IF(R23="","",IF(R23&lt;TODAY(),"EXPIRED",IF(R23-TODAY()&lt;=30,"EXPIRING SOON","Active")))</f>
        <v/>
      </c>
      <c r="U23" s="42"/>
    </row>
    <row r="24" customFormat="false" ht="21.75" hidden="false" customHeight="true" outlineLevel="0" collapsed="false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43" t="str">
        <f aca="true">IF(R24="","",MAX(0,INT(R24-TODAY())))</f>
        <v/>
      </c>
      <c r="T24" s="44" t="str">
        <f aca="true">IF(R24="","",IF(R24&lt;TODAY(),"EXPIRED",IF(R24-TODAY()&lt;=30,"EXPIRING SOON","Active")))</f>
        <v/>
      </c>
      <c r="U24" s="28"/>
    </row>
    <row r="25" customFormat="false" ht="21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3" t="str">
        <f aca="true">IF(R25="","",MAX(0,INT(R25-TODAY())))</f>
        <v/>
      </c>
      <c r="T25" s="44" t="str">
        <f aca="true">IF(R25="","",IF(R25&lt;TODAY(),"EXPIRED",IF(R25-TODAY()&lt;=30,"EXPIRING SOON","Active")))</f>
        <v/>
      </c>
      <c r="U25" s="42"/>
    </row>
    <row r="26" customFormat="false" ht="21.75" hidden="false" customHeight="true" outlineLevel="0" collapsed="false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43" t="str">
        <f aca="true">IF(R26="","",MAX(0,INT(R26-TODAY())))</f>
        <v/>
      </c>
      <c r="T26" s="44" t="str">
        <f aca="true">IF(R26="","",IF(R26&lt;TODAY(),"EXPIRED",IF(R26-TODAY()&lt;=30,"EXPIRING SOON","Active")))</f>
        <v/>
      </c>
      <c r="U26" s="28"/>
    </row>
    <row r="27" customFormat="false" ht="21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3" t="str">
        <f aca="true">IF(R27="","",MAX(0,INT(R27-TODAY())))</f>
        <v/>
      </c>
      <c r="T27" s="44" t="str">
        <f aca="true">IF(R27="","",IF(R27&lt;TODAY(),"EXPIRED",IF(R27-TODAY()&lt;=30,"EXPIRING SOON","Active")))</f>
        <v/>
      </c>
      <c r="U27" s="42"/>
    </row>
    <row r="28" customFormat="false" ht="21.75" hidden="false" customHeight="true" outlineLevel="0" collapsed="false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43" t="str">
        <f aca="true">IF(R28="","",MAX(0,INT(R28-TODAY())))</f>
        <v/>
      </c>
      <c r="T28" s="44" t="str">
        <f aca="true">IF(R28="","",IF(R28&lt;TODAY(),"EXPIRED",IF(R28-TODAY()&lt;=30,"EXPIRING SOON","Active")))</f>
        <v/>
      </c>
      <c r="U28" s="28"/>
    </row>
    <row r="29" customFormat="false" ht="21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3" t="str">
        <f aca="true">IF(R29="","",MAX(0,INT(R29-TODAY())))</f>
        <v/>
      </c>
      <c r="T29" s="44" t="str">
        <f aca="true">IF(R29="","",IF(R29&lt;TODAY(),"EXPIRED",IF(R29-TODAY()&lt;=30,"EXPIRING SOON","Active")))</f>
        <v/>
      </c>
      <c r="U29" s="42"/>
    </row>
    <row r="30" customFormat="false" ht="21.75" hidden="false" customHeight="true" outlineLevel="0" collapsed="false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43" t="str">
        <f aca="true">IF(R30="","",MAX(0,INT(R30-TODAY())))</f>
        <v/>
      </c>
      <c r="T30" s="44" t="str">
        <f aca="true">IF(R30="","",IF(R30&lt;TODAY(),"EXPIRED",IF(R30-TODAY()&lt;=30,"EXPIRING SOON","Active")))</f>
        <v/>
      </c>
      <c r="U30" s="28"/>
    </row>
    <row r="31" customFormat="false" ht="21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3" t="str">
        <f aca="true">IF(R31="","",MAX(0,INT(R31-TODAY())))</f>
        <v/>
      </c>
      <c r="T31" s="44" t="str">
        <f aca="true">IF(R31="","",IF(R31&lt;TODAY(),"EXPIRED",IF(R31-TODAY()&lt;=30,"EXPIRING SOON","Active")))</f>
        <v/>
      </c>
      <c r="U31" s="42"/>
    </row>
    <row r="32" customFormat="false" ht="21.75" hidden="false" customHeight="true" outlineLevel="0" collapsed="false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43" t="str">
        <f aca="true">IF(R32="","",MAX(0,INT(R32-TODAY())))</f>
        <v/>
      </c>
      <c r="T32" s="44" t="str">
        <f aca="true">IF(R32="","",IF(R32&lt;TODAY(),"EXPIRED",IF(R32-TODAY()&lt;=30,"EXPIRING SOON","Active")))</f>
        <v/>
      </c>
      <c r="U32" s="28"/>
    </row>
    <row r="33" customFormat="false" ht="21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3" t="str">
        <f aca="true">IF(R33="","",MAX(0,INT(R33-TODAY())))</f>
        <v/>
      </c>
      <c r="T33" s="44" t="str">
        <f aca="true">IF(R33="","",IF(R33&lt;TODAY(),"EXPIRED",IF(R33-TODAY()&lt;=30,"EXPIRING SOON","Active")))</f>
        <v/>
      </c>
      <c r="U33" s="42"/>
    </row>
    <row r="34" customFormat="false" ht="21.75" hidden="false" customHeight="true" outlineLevel="0" collapsed="false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43" t="str">
        <f aca="true">IF(R34="","",MAX(0,INT(R34-TODAY())))</f>
        <v/>
      </c>
      <c r="T34" s="44" t="str">
        <f aca="true">IF(R34="","",IF(R34&lt;TODAY(),"EXPIRED",IF(R34-TODAY()&lt;=30,"EXPIRING SOON","Active")))</f>
        <v/>
      </c>
      <c r="U34" s="28"/>
    </row>
    <row r="35" customFormat="false" ht="21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3" t="str">
        <f aca="true">IF(R35="","",MAX(0,INT(R35-TODAY())))</f>
        <v/>
      </c>
      <c r="T35" s="44" t="str">
        <f aca="true">IF(R35="","",IF(R35&lt;TODAY(),"EXPIRED",IF(R35-TODAY()&lt;=30,"EXPIRING SOON","Active")))</f>
        <v/>
      </c>
      <c r="U35" s="42"/>
    </row>
    <row r="36" customFormat="false" ht="21.75" hidden="false" customHeight="true" outlineLevel="0" collapsed="false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43" t="str">
        <f aca="true">IF(R36="","",MAX(0,INT(R36-TODAY())))</f>
        <v/>
      </c>
      <c r="T36" s="44" t="str">
        <f aca="true">IF(R36="","",IF(R36&lt;TODAY(),"EXPIRED",IF(R36-TODAY()&lt;=30,"EXPIRING SOON","Active")))</f>
        <v/>
      </c>
      <c r="U36" s="28"/>
    </row>
    <row r="37" customFormat="false" ht="21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3" t="str">
        <f aca="true">IF(R37="","",MAX(0,INT(R37-TODAY())))</f>
        <v/>
      </c>
      <c r="T37" s="44" t="str">
        <f aca="true">IF(R37="","",IF(R37&lt;TODAY(),"EXPIRED",IF(R37-TODAY()&lt;=30,"EXPIRING SOON","Active")))</f>
        <v/>
      </c>
      <c r="U37" s="42"/>
    </row>
    <row r="38" customFormat="false" ht="21.75" hidden="false" customHeight="true" outlineLevel="0" collapsed="false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43" t="str">
        <f aca="true">IF(R38="","",MAX(0,INT(R38-TODAY())))</f>
        <v/>
      </c>
      <c r="T38" s="44" t="str">
        <f aca="true">IF(R38="","",IF(R38&lt;TODAY(),"EXPIRED",IF(R38-TODAY()&lt;=30,"EXPIRING SOON","Active")))</f>
        <v/>
      </c>
      <c r="U38" s="28"/>
    </row>
    <row r="39" customFormat="false" ht="21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3" t="str">
        <f aca="true">IF(R39="","",MAX(0,INT(R39-TODAY())))</f>
        <v/>
      </c>
      <c r="T39" s="44" t="str">
        <f aca="true">IF(R39="","",IF(R39&lt;TODAY(),"EXPIRED",IF(R39-TODAY()&lt;=30,"EXPIRING SOON","Active")))</f>
        <v/>
      </c>
      <c r="U39" s="42"/>
    </row>
    <row r="40" customFormat="false" ht="21.75" hidden="false" customHeight="true" outlineLevel="0" collapsed="false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43" t="str">
        <f aca="true">IF(R40="","",MAX(0,INT(R40-TODAY())))</f>
        <v/>
      </c>
      <c r="T40" s="44" t="str">
        <f aca="true">IF(R40="","",IF(R40&lt;TODAY(),"EXPIRED",IF(R40-TODAY()&lt;=30,"EXPIRING SOON","Active")))</f>
        <v/>
      </c>
      <c r="U40" s="28"/>
    </row>
    <row r="41" customFormat="false" ht="21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3" t="str">
        <f aca="true">IF(R41="","",MAX(0,INT(R41-TODAY())))</f>
        <v/>
      </c>
      <c r="T41" s="44" t="str">
        <f aca="true">IF(R41="","",IF(R41&lt;TODAY(),"EXPIRED",IF(R41-TODAY()&lt;=30,"EXPIRING SOON","Active")))</f>
        <v/>
      </c>
      <c r="U41" s="42"/>
    </row>
    <row r="42" customFormat="false" ht="21.75" hidden="false" customHeight="true" outlineLevel="0" collapsed="false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43" t="str">
        <f aca="true">IF(R42="","",MAX(0,INT(R42-TODAY())))</f>
        <v/>
      </c>
      <c r="T42" s="44" t="str">
        <f aca="true">IF(R42="","",IF(R42&lt;TODAY(),"EXPIRED",IF(R42-TODAY()&lt;=30,"EXPIRING SOON","Active")))</f>
        <v/>
      </c>
      <c r="U42" s="28"/>
    </row>
    <row r="43" customFormat="false" ht="21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3" t="str">
        <f aca="true">IF(R43="","",MAX(0,INT(R43-TODAY())))</f>
        <v/>
      </c>
      <c r="T43" s="44" t="str">
        <f aca="true">IF(R43="","",IF(R43&lt;TODAY(),"EXPIRED",IF(R43-TODAY()&lt;=30,"EXPIRING SOON","Active")))</f>
        <v/>
      </c>
      <c r="U43" s="42"/>
    </row>
    <row r="44" customFormat="false" ht="21.75" hidden="false" customHeight="true" outlineLevel="0" collapsed="false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43" t="str">
        <f aca="true">IF(R44="","",MAX(0,INT(R44-TODAY())))</f>
        <v/>
      </c>
      <c r="T44" s="44" t="str">
        <f aca="true">IF(R44="","",IF(R44&lt;TODAY(),"EXPIRED",IF(R44-TODAY()&lt;=30,"EXPIRING SOON","Active")))</f>
        <v/>
      </c>
      <c r="U44" s="28"/>
    </row>
    <row r="45" customFormat="false" ht="21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3" t="str">
        <f aca="true">IF(R45="","",MAX(0,INT(R45-TODAY())))</f>
        <v/>
      </c>
      <c r="T45" s="44" t="str">
        <f aca="true">IF(R45="","",IF(R45&lt;TODAY(),"EXPIRED",IF(R45-TODAY()&lt;=30,"EXPIRING SOON","Active")))</f>
        <v/>
      </c>
      <c r="U45" s="42"/>
    </row>
    <row r="46" customFormat="false" ht="21.75" hidden="false" customHeight="true" outlineLevel="0" collapsed="false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43" t="str">
        <f aca="true">IF(R46="","",MAX(0,INT(R46-TODAY())))</f>
        <v/>
      </c>
      <c r="T46" s="44" t="str">
        <f aca="true">IF(R46="","",IF(R46&lt;TODAY(),"EXPIRED",IF(R46-TODAY()&lt;=30,"EXPIRING SOON","Active")))</f>
        <v/>
      </c>
      <c r="U46" s="28"/>
    </row>
    <row r="47" customFormat="false" ht="21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3" t="str">
        <f aca="true">IF(R47="","",MAX(0,INT(R47-TODAY())))</f>
        <v/>
      </c>
      <c r="T47" s="44" t="str">
        <f aca="true">IF(R47="","",IF(R47&lt;TODAY(),"EXPIRED",IF(R47-TODAY()&lt;=30,"EXPIRING SOON","Active")))</f>
        <v/>
      </c>
      <c r="U47" s="42"/>
    </row>
    <row r="48" customFormat="false" ht="21.75" hidden="false" customHeight="true" outlineLevel="0" collapsed="false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43" t="str">
        <f aca="true">IF(R48="","",MAX(0,INT(R48-TODAY())))</f>
        <v/>
      </c>
      <c r="T48" s="44" t="str">
        <f aca="true">IF(R48="","",IF(R48&lt;TODAY(),"EXPIRED",IF(R48-TODAY()&lt;=30,"EXPIRING SOON","Active")))</f>
        <v/>
      </c>
      <c r="U48" s="28"/>
    </row>
    <row r="49" customFormat="false" ht="21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3" t="str">
        <f aca="true">IF(R49="","",MAX(0,INT(R49-TODAY())))</f>
        <v/>
      </c>
      <c r="T49" s="44" t="str">
        <f aca="true">IF(R49="","",IF(R49&lt;TODAY(),"EXPIRED",IF(R49-TODAY()&lt;=30,"EXPIRING SOON","Active")))</f>
        <v/>
      </c>
      <c r="U49" s="42"/>
    </row>
    <row r="50" customFormat="false" ht="21.75" hidden="false" customHeight="true" outlineLevel="0" collapsed="false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43" t="str">
        <f aca="true">IF(R50="","",MAX(0,INT(R50-TODAY())))</f>
        <v/>
      </c>
      <c r="T50" s="44" t="str">
        <f aca="true">IF(R50="","",IF(R50&lt;TODAY(),"EXPIRED",IF(R50-TODAY()&lt;=30,"EXPIRING SOON","Active")))</f>
        <v/>
      </c>
      <c r="U50" s="28"/>
    </row>
    <row r="51" customFormat="false" ht="21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3" t="str">
        <f aca="true">IF(R51="","",MAX(0,INT(R51-TODAY())))</f>
        <v/>
      </c>
      <c r="T51" s="44" t="str">
        <f aca="true">IF(R51="","",IF(R51&lt;TODAY(),"EXPIRED",IF(R51-TODAY()&lt;=30,"EXPIRING SOON","Active")))</f>
        <v/>
      </c>
      <c r="U51" s="42"/>
    </row>
    <row r="52" customFormat="false" ht="21.75" hidden="false" customHeight="true" outlineLevel="0" collapsed="false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43" t="str">
        <f aca="true">IF(R52="","",MAX(0,INT(R52-TODAY())))</f>
        <v/>
      </c>
      <c r="T52" s="44" t="str">
        <f aca="true">IF(R52="","",IF(R52&lt;TODAY(),"EXPIRED",IF(R52-TODAY()&lt;=30,"EXPIRING SOON","Active")))</f>
        <v/>
      </c>
      <c r="U52" s="28"/>
    </row>
    <row r="53" customFormat="false" ht="21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3" t="str">
        <f aca="true">IF(R53="","",MAX(0,INT(R53-TODAY())))</f>
        <v/>
      </c>
      <c r="T53" s="44" t="str">
        <f aca="true">IF(R53="","",IF(R53&lt;TODAY(),"EXPIRED",IF(R53-TODAY()&lt;=30,"EXPIRING SOON","Active")))</f>
        <v/>
      </c>
      <c r="U53" s="42"/>
    </row>
    <row r="54" customFormat="false" ht="21.75" hidden="false" customHeight="true" outlineLevel="0" collapsed="false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43" t="str">
        <f aca="true">IF(R54="","",MAX(0,INT(R54-TODAY())))</f>
        <v/>
      </c>
      <c r="T54" s="44" t="str">
        <f aca="true">IF(R54="","",IF(R54&lt;TODAY(),"EXPIRED",IF(R54-TODAY()&lt;=30,"EXPIRING SOON","Active")))</f>
        <v/>
      </c>
      <c r="U54" s="28"/>
    </row>
    <row r="55" customFormat="false" ht="21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3" t="str">
        <f aca="true">IF(R55="","",MAX(0,INT(R55-TODAY())))</f>
        <v/>
      </c>
      <c r="T55" s="44" t="str">
        <f aca="true">IF(R55="","",IF(R55&lt;TODAY(),"EXPIRED",IF(R55-TODAY()&lt;=30,"EXPIRING SOON","Active")))</f>
        <v/>
      </c>
      <c r="U55" s="42"/>
    </row>
    <row r="56" customFormat="false" ht="21.75" hidden="false" customHeight="true" outlineLevel="0" collapsed="false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43" t="str">
        <f aca="true">IF(R56="","",MAX(0,INT(R56-TODAY())))</f>
        <v/>
      </c>
      <c r="T56" s="44" t="str">
        <f aca="true">IF(R56="","",IF(R56&lt;TODAY(),"EXPIRED",IF(R56-TODAY()&lt;=30,"EXPIRING SOON","Active")))</f>
        <v/>
      </c>
      <c r="U56" s="28"/>
    </row>
    <row r="57" customFormat="false" ht="21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3" t="str">
        <f aca="true">IF(R57="","",MAX(0,INT(R57-TODAY())))</f>
        <v/>
      </c>
      <c r="T57" s="44" t="str">
        <f aca="true">IF(R57="","",IF(R57&lt;TODAY(),"EXPIRED",IF(R57-TODAY()&lt;=30,"EXPIRING SOON","Active")))</f>
        <v/>
      </c>
      <c r="U57" s="42"/>
    </row>
    <row r="58" customFormat="false" ht="21.75" hidden="false" customHeight="true" outlineLevel="0" collapsed="false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43" t="str">
        <f aca="true">IF(R58="","",MAX(0,INT(R58-TODAY())))</f>
        <v/>
      </c>
      <c r="T58" s="44" t="str">
        <f aca="true">IF(R58="","",IF(R58&lt;TODAY(),"EXPIRED",IF(R58-TODAY()&lt;=30,"EXPIRING SOON","Active")))</f>
        <v/>
      </c>
      <c r="U58" s="28"/>
    </row>
    <row r="59" customFormat="false" ht="21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3" t="str">
        <f aca="true">IF(R59="","",MAX(0,INT(R59-TODAY())))</f>
        <v/>
      </c>
      <c r="T59" s="44" t="str">
        <f aca="true">IF(R59="","",IF(R59&lt;TODAY(),"EXPIRED",IF(R59-TODAY()&lt;=30,"EXPIRING SOON","Active")))</f>
        <v/>
      </c>
      <c r="U59" s="42"/>
    </row>
    <row r="60" customFormat="false" ht="21.75" hidden="false" customHeight="true" outlineLevel="0" collapsed="false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43" t="str">
        <f aca="true">IF(R60="","",MAX(0,INT(R60-TODAY())))</f>
        <v/>
      </c>
      <c r="T60" s="44" t="str">
        <f aca="true">IF(R60="","",IF(R60&lt;TODAY(),"EXPIRED",IF(R60-TODAY()&lt;=30,"EXPIRING SOON","Active")))</f>
        <v/>
      </c>
      <c r="U60" s="28"/>
    </row>
    <row r="61" customFormat="false" ht="21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3" t="str">
        <f aca="true">IF(R61="","",MAX(0,INT(R61-TODAY())))</f>
        <v/>
      </c>
      <c r="T61" s="44" t="str">
        <f aca="true">IF(R61="","",IF(R61&lt;TODAY(),"EXPIRED",IF(R61-TODAY()&lt;=30,"EXPIRING SOON","Active")))</f>
        <v/>
      </c>
      <c r="U61" s="42"/>
    </row>
    <row r="62" customFormat="false" ht="21.75" hidden="false" customHeight="true" outlineLevel="0" collapsed="false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43" t="str">
        <f aca="true">IF(R62="","",MAX(0,INT(R62-TODAY())))</f>
        <v/>
      </c>
      <c r="T62" s="44" t="str">
        <f aca="true">IF(R62="","",IF(R62&lt;TODAY(),"EXPIRED",IF(R62-TODAY()&lt;=30,"EXPIRING SOON","Active")))</f>
        <v/>
      </c>
      <c r="U62" s="28"/>
    </row>
    <row r="63" customFormat="false" ht="21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3" t="str">
        <f aca="true">IF(R63="","",MAX(0,INT(R63-TODAY())))</f>
        <v/>
      </c>
      <c r="T63" s="44" t="str">
        <f aca="true">IF(R63="","",IF(R63&lt;TODAY(),"EXPIRED",IF(R63-TODAY()&lt;=30,"EXPIRING SOON","Active")))</f>
        <v/>
      </c>
      <c r="U63" s="42"/>
    </row>
    <row r="64" customFormat="false" ht="21.75" hidden="false" customHeight="true" outlineLevel="0" collapsed="false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43" t="str">
        <f aca="true">IF(R64="","",MAX(0,INT(R64-TODAY())))</f>
        <v/>
      </c>
      <c r="T64" s="44" t="str">
        <f aca="true">IF(R64="","",IF(R64&lt;TODAY(),"EXPIRED",IF(R64-TODAY()&lt;=30,"EXPIRING SOON","Active")))</f>
        <v/>
      </c>
      <c r="U64" s="28"/>
    </row>
    <row r="65" customFormat="false" ht="21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3" t="str">
        <f aca="true">IF(R65="","",MAX(0,INT(R65-TODAY())))</f>
        <v/>
      </c>
      <c r="T65" s="44" t="str">
        <f aca="true">IF(R65="","",IF(R65&lt;TODAY(),"EXPIRED",IF(R65-TODAY()&lt;=30,"EXPIRING SOON","Active")))</f>
        <v/>
      </c>
      <c r="U65" s="42"/>
    </row>
    <row r="66" customFormat="false" ht="21.75" hidden="false" customHeight="true" outlineLevel="0" collapsed="false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43" t="str">
        <f aca="true">IF(R66="","",MAX(0,INT(R66-TODAY())))</f>
        <v/>
      </c>
      <c r="T66" s="44" t="str">
        <f aca="true">IF(R66="","",IF(R66&lt;TODAY(),"EXPIRED",IF(R66-TODAY()&lt;=30,"EXPIRING SOON","Active")))</f>
        <v/>
      </c>
      <c r="U66" s="28"/>
    </row>
    <row r="67" customFormat="false" ht="21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3" t="str">
        <f aca="true">IF(R67="","",MAX(0,INT(R67-TODAY())))</f>
        <v/>
      </c>
      <c r="T67" s="44" t="str">
        <f aca="true">IF(R67="","",IF(R67&lt;TODAY(),"EXPIRED",IF(R67-TODAY()&lt;=30,"EXPIRING SOON","Active")))</f>
        <v/>
      </c>
      <c r="U67" s="42"/>
    </row>
    <row r="68" customFormat="false" ht="21.75" hidden="false" customHeight="true" outlineLevel="0" collapsed="false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43" t="str">
        <f aca="true">IF(R68="","",MAX(0,INT(R68-TODAY())))</f>
        <v/>
      </c>
      <c r="T68" s="44" t="str">
        <f aca="true">IF(R68="","",IF(R68&lt;TODAY(),"EXPIRED",IF(R68-TODAY()&lt;=30,"EXPIRING SOON","Active")))</f>
        <v/>
      </c>
      <c r="U68" s="28"/>
    </row>
    <row r="69" customFormat="false" ht="21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3" t="str">
        <f aca="true">IF(R69="","",MAX(0,INT(R69-TODAY())))</f>
        <v/>
      </c>
      <c r="T69" s="44" t="str">
        <f aca="true">IF(R69="","",IF(R69&lt;TODAY(),"EXPIRED",IF(R69-TODAY()&lt;=30,"EXPIRING SOON","Active")))</f>
        <v/>
      </c>
      <c r="U69" s="42"/>
    </row>
    <row r="70" customFormat="false" ht="21.75" hidden="false" customHeight="true" outlineLevel="0" collapsed="false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43" t="str">
        <f aca="true">IF(R70="","",MAX(0,INT(R70-TODAY())))</f>
        <v/>
      </c>
      <c r="T70" s="44" t="str">
        <f aca="true">IF(R70="","",IF(R70&lt;TODAY(),"EXPIRED",IF(R70-TODAY()&lt;=30,"EXPIRING SOON","Active")))</f>
        <v/>
      </c>
      <c r="U70" s="28"/>
    </row>
    <row r="71" customFormat="false" ht="21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3" t="str">
        <f aca="true">IF(R71="","",MAX(0,INT(R71-TODAY())))</f>
        <v/>
      </c>
      <c r="T71" s="44" t="str">
        <f aca="true">IF(R71="","",IF(R71&lt;TODAY(),"EXPIRED",IF(R71-TODAY()&lt;=30,"EXPIRING SOON","Active")))</f>
        <v/>
      </c>
      <c r="U71" s="42"/>
    </row>
    <row r="72" customFormat="false" ht="21.75" hidden="false" customHeight="true" outlineLevel="0" collapsed="false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43" t="str">
        <f aca="true">IF(R72="","",MAX(0,INT(R72-TODAY())))</f>
        <v/>
      </c>
      <c r="T72" s="44" t="str">
        <f aca="true">IF(R72="","",IF(R72&lt;TODAY(),"EXPIRED",IF(R72-TODAY()&lt;=30,"EXPIRING SOON","Active")))</f>
        <v/>
      </c>
      <c r="U72" s="28"/>
    </row>
    <row r="73" customFormat="false" ht="21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3" t="str">
        <f aca="true">IF(R73="","",MAX(0,INT(R73-TODAY())))</f>
        <v/>
      </c>
      <c r="T73" s="44" t="str">
        <f aca="true">IF(R73="","",IF(R73&lt;TODAY(),"EXPIRED",IF(R73-TODAY()&lt;=30,"EXPIRING SOON","Active")))</f>
        <v/>
      </c>
      <c r="U73" s="42"/>
    </row>
    <row r="74" customFormat="false" ht="21.75" hidden="false" customHeight="true" outlineLevel="0" collapsed="false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43" t="str">
        <f aca="true">IF(R74="","",MAX(0,INT(R74-TODAY())))</f>
        <v/>
      </c>
      <c r="T74" s="44" t="str">
        <f aca="true">IF(R74="","",IF(R74&lt;TODAY(),"EXPIRED",IF(R74-TODAY()&lt;=30,"EXPIRING SOON","Active")))</f>
        <v/>
      </c>
      <c r="U74" s="28"/>
    </row>
    <row r="75" customFormat="false" ht="21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3" t="str">
        <f aca="true">IF(R75="","",MAX(0,INT(R75-TODAY())))</f>
        <v/>
      </c>
      <c r="T75" s="44" t="str">
        <f aca="true">IF(R75="","",IF(R75&lt;TODAY(),"EXPIRED",IF(R75-TODAY()&lt;=30,"EXPIRING SOON","Active")))</f>
        <v/>
      </c>
      <c r="U75" s="42"/>
    </row>
    <row r="76" customFormat="false" ht="21.75" hidden="false" customHeight="true" outlineLevel="0" collapsed="false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43" t="str">
        <f aca="true">IF(R76="","",MAX(0,INT(R76-TODAY())))</f>
        <v/>
      </c>
      <c r="T76" s="44" t="str">
        <f aca="true">IF(R76="","",IF(R76&lt;TODAY(),"EXPIRED",IF(R76-TODAY()&lt;=30,"EXPIRING SOON","Active")))</f>
        <v/>
      </c>
      <c r="U76" s="28"/>
    </row>
    <row r="77" customFormat="false" ht="21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3" t="str">
        <f aca="true">IF(R77="","",MAX(0,INT(R77-TODAY())))</f>
        <v/>
      </c>
      <c r="T77" s="44" t="str">
        <f aca="true">IF(R77="","",IF(R77&lt;TODAY(),"EXPIRED",IF(R77-TODAY()&lt;=30,"EXPIRING SOON","Active")))</f>
        <v/>
      </c>
      <c r="U77" s="42"/>
    </row>
    <row r="78" customFormat="false" ht="21.75" hidden="false" customHeight="true" outlineLevel="0" collapsed="false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43" t="str">
        <f aca="true">IF(R78="","",MAX(0,INT(R78-TODAY())))</f>
        <v/>
      </c>
      <c r="T78" s="44" t="str">
        <f aca="true">IF(R78="","",IF(R78&lt;TODAY(),"EXPIRED",IF(R78-TODAY()&lt;=30,"EXPIRING SOON","Active")))</f>
        <v/>
      </c>
      <c r="U78" s="28"/>
    </row>
    <row r="79" customFormat="false" ht="21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3" t="str">
        <f aca="true">IF(R79="","",MAX(0,INT(R79-TODAY())))</f>
        <v/>
      </c>
      <c r="T79" s="44" t="str">
        <f aca="true">IF(R79="","",IF(R79&lt;TODAY(),"EXPIRED",IF(R79-TODAY()&lt;=30,"EXPIRING SOON","Active")))</f>
        <v/>
      </c>
      <c r="U79" s="42"/>
    </row>
    <row r="80" customFormat="false" ht="21.75" hidden="false" customHeight="true" outlineLevel="0" collapsed="false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43" t="str">
        <f aca="true">IF(R80="","",MAX(0,INT(R80-TODAY())))</f>
        <v/>
      </c>
      <c r="T80" s="44" t="str">
        <f aca="true">IF(R80="","",IF(R80&lt;TODAY(),"EXPIRED",IF(R80-TODAY()&lt;=30,"EXPIRING SOON","Active")))</f>
        <v/>
      </c>
      <c r="U80" s="28"/>
    </row>
    <row r="81" customFormat="false" ht="21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3" t="str">
        <f aca="true">IF(R81="","",MAX(0,INT(R81-TODAY())))</f>
        <v/>
      </c>
      <c r="T81" s="44" t="str">
        <f aca="true">IF(R81="","",IF(R81&lt;TODAY(),"EXPIRED",IF(R81-TODAY()&lt;=30,"EXPIRING SOON","Active")))</f>
        <v/>
      </c>
      <c r="U81" s="42"/>
    </row>
    <row r="82" customFormat="false" ht="21.75" hidden="false" customHeight="true" outlineLevel="0" collapsed="false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43" t="str">
        <f aca="true">IF(R82="","",MAX(0,INT(R82-TODAY())))</f>
        <v/>
      </c>
      <c r="T82" s="44" t="str">
        <f aca="true">IF(R82="","",IF(R82&lt;TODAY(),"EXPIRED",IF(R82-TODAY()&lt;=30,"EXPIRING SOON","Active")))</f>
        <v/>
      </c>
      <c r="U82" s="28"/>
    </row>
    <row r="83" customFormat="false" ht="21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3" t="str">
        <f aca="true">IF(R83="","",MAX(0,INT(R83-TODAY())))</f>
        <v/>
      </c>
      <c r="T83" s="44" t="str">
        <f aca="true">IF(R83="","",IF(R83&lt;TODAY(),"EXPIRED",IF(R83-TODAY()&lt;=30,"EXPIRING SOON","Active")))</f>
        <v/>
      </c>
      <c r="U83" s="42"/>
    </row>
    <row r="84" customFormat="false" ht="21.75" hidden="false" customHeight="true" outlineLevel="0" collapsed="false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43" t="str">
        <f aca="true">IF(R84="","",MAX(0,INT(R84-TODAY())))</f>
        <v/>
      </c>
      <c r="T84" s="44" t="str">
        <f aca="true">IF(R84="","",IF(R84&lt;TODAY(),"EXPIRED",IF(R84-TODAY()&lt;=30,"EXPIRING SOON","Active")))</f>
        <v/>
      </c>
      <c r="U84" s="28"/>
    </row>
    <row r="85" customFormat="false" ht="21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3" t="str">
        <f aca="true">IF(R85="","",MAX(0,INT(R85-TODAY())))</f>
        <v/>
      </c>
      <c r="T85" s="44" t="str">
        <f aca="true">IF(R85="","",IF(R85&lt;TODAY(),"EXPIRED",IF(R85-TODAY()&lt;=30,"EXPIRING SOON","Active")))</f>
        <v/>
      </c>
      <c r="U85" s="42"/>
    </row>
    <row r="86" customFormat="false" ht="21.75" hidden="false" customHeight="true" outlineLevel="0" collapsed="false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43" t="str">
        <f aca="true">IF(R86="","",MAX(0,INT(R86-TODAY())))</f>
        <v/>
      </c>
      <c r="T86" s="44" t="str">
        <f aca="true">IF(R86="","",IF(R86&lt;TODAY(),"EXPIRED",IF(R86-TODAY()&lt;=30,"EXPIRING SOON","Active")))</f>
        <v/>
      </c>
      <c r="U86" s="28"/>
    </row>
    <row r="87" customFormat="false" ht="21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3" t="str">
        <f aca="true">IF(R87="","",MAX(0,INT(R87-TODAY())))</f>
        <v/>
      </c>
      <c r="T87" s="44" t="str">
        <f aca="true">IF(R87="","",IF(R87&lt;TODAY(),"EXPIRED",IF(R87-TODAY()&lt;=30,"EXPIRING SOON","Active")))</f>
        <v/>
      </c>
      <c r="U87" s="42"/>
    </row>
    <row r="88" customFormat="false" ht="21.75" hidden="false" customHeight="true" outlineLevel="0" collapsed="false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43" t="str">
        <f aca="true">IF(R88="","",MAX(0,INT(R88-TODAY())))</f>
        <v/>
      </c>
      <c r="T88" s="44" t="str">
        <f aca="true">IF(R88="","",IF(R88&lt;TODAY(),"EXPIRED",IF(R88-TODAY()&lt;=30,"EXPIRING SOON","Active")))</f>
        <v/>
      </c>
      <c r="U88" s="28"/>
    </row>
    <row r="89" customFormat="false" ht="21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3" t="str">
        <f aca="true">IF(R89="","",MAX(0,INT(R89-TODAY())))</f>
        <v/>
      </c>
      <c r="T89" s="44" t="str">
        <f aca="true">IF(R89="","",IF(R89&lt;TODAY(),"EXPIRED",IF(R89-TODAY()&lt;=30,"EXPIRING SOON","Active")))</f>
        <v/>
      </c>
      <c r="U89" s="42"/>
    </row>
    <row r="90" customFormat="false" ht="21.75" hidden="false" customHeight="true" outlineLevel="0" collapsed="false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43" t="str">
        <f aca="true">IF(R90="","",MAX(0,INT(R90-TODAY())))</f>
        <v/>
      </c>
      <c r="T90" s="44" t="str">
        <f aca="true">IF(R90="","",IF(R90&lt;TODAY(),"EXPIRED",IF(R90-TODAY()&lt;=30,"EXPIRING SOON","Active")))</f>
        <v/>
      </c>
      <c r="U90" s="28"/>
    </row>
    <row r="91" customFormat="false" ht="21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3" t="str">
        <f aca="true">IF(R91="","",MAX(0,INT(R91-TODAY())))</f>
        <v/>
      </c>
      <c r="T91" s="44" t="str">
        <f aca="true">IF(R91="","",IF(R91&lt;TODAY(),"EXPIRED",IF(R91-TODAY()&lt;=30,"EXPIRING SOON","Active")))</f>
        <v/>
      </c>
      <c r="U91" s="42"/>
    </row>
    <row r="92" customFormat="false" ht="21.75" hidden="false" customHeight="true" outlineLevel="0" collapsed="false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43" t="str">
        <f aca="true">IF(R92="","",MAX(0,INT(R92-TODAY())))</f>
        <v/>
      </c>
      <c r="T92" s="44" t="str">
        <f aca="true">IF(R92="","",IF(R92&lt;TODAY(),"EXPIRED",IF(R92-TODAY()&lt;=30,"EXPIRING SOON","Active")))</f>
        <v/>
      </c>
      <c r="U92" s="28"/>
    </row>
    <row r="93" customFormat="false" ht="21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3" t="str">
        <f aca="true">IF(R93="","",MAX(0,INT(R93-TODAY())))</f>
        <v/>
      </c>
      <c r="T93" s="44" t="str">
        <f aca="true">IF(R93="","",IF(R93&lt;TODAY(),"EXPIRED",IF(R93-TODAY()&lt;=30,"EXPIRING SOON","Active")))</f>
        <v/>
      </c>
      <c r="U93" s="42"/>
    </row>
    <row r="94" customFormat="false" ht="21.75" hidden="false" customHeight="true" outlineLevel="0" collapsed="false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43" t="str">
        <f aca="true">IF(R94="","",MAX(0,INT(R94-TODAY())))</f>
        <v/>
      </c>
      <c r="T94" s="44" t="str">
        <f aca="true">IF(R94="","",IF(R94&lt;TODAY(),"EXPIRED",IF(R94-TODAY()&lt;=30,"EXPIRING SOON","Active")))</f>
        <v/>
      </c>
      <c r="U94" s="28"/>
    </row>
    <row r="95" customFormat="false" ht="21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3" t="str">
        <f aca="true">IF(R95="","",MAX(0,INT(R95-TODAY())))</f>
        <v/>
      </c>
      <c r="T95" s="44" t="str">
        <f aca="true">IF(R95="","",IF(R95&lt;TODAY(),"EXPIRED",IF(R95-TODAY()&lt;=30,"EXPIRING SOON","Active")))</f>
        <v/>
      </c>
      <c r="U95" s="42"/>
    </row>
    <row r="96" customFormat="false" ht="21.75" hidden="false" customHeight="true" outlineLevel="0" collapsed="false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43" t="str">
        <f aca="true">IF(R96="","",MAX(0,INT(R96-TODAY())))</f>
        <v/>
      </c>
      <c r="T96" s="44" t="str">
        <f aca="true">IF(R96="","",IF(R96&lt;TODAY(),"EXPIRED",IF(R96-TODAY()&lt;=30,"EXPIRING SOON","Active")))</f>
        <v/>
      </c>
      <c r="U96" s="28"/>
    </row>
    <row r="97" customFormat="false" ht="21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3" t="str">
        <f aca="true">IF(R97="","",MAX(0,INT(R97-TODAY())))</f>
        <v/>
      </c>
      <c r="T97" s="44" t="str">
        <f aca="true">IF(R97="","",IF(R97&lt;TODAY(),"EXPIRED",IF(R97-TODAY()&lt;=30,"EXPIRING SOON","Active")))</f>
        <v/>
      </c>
      <c r="U97" s="42"/>
    </row>
    <row r="98" customFormat="false" ht="21.75" hidden="false" customHeight="true" outlineLevel="0" collapsed="false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43" t="str">
        <f aca="true">IF(R98="","",MAX(0,INT(R98-TODAY())))</f>
        <v/>
      </c>
      <c r="T98" s="44" t="str">
        <f aca="true">IF(R98="","",IF(R98&lt;TODAY(),"EXPIRED",IF(R98-TODAY()&lt;=30,"EXPIRING SOON","Active")))</f>
        <v/>
      </c>
      <c r="U98" s="28"/>
    </row>
    <row r="99" customFormat="false" ht="21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3" t="str">
        <f aca="true">IF(R99="","",MAX(0,INT(R99-TODAY())))</f>
        <v/>
      </c>
      <c r="T99" s="44" t="str">
        <f aca="true">IF(R99="","",IF(R99&lt;TODAY(),"EXPIRED",IF(R99-TODAY()&lt;=30,"EXPIRING SOON","Active")))</f>
        <v/>
      </c>
      <c r="U99" s="42"/>
    </row>
    <row r="100" customFormat="false" ht="21.75" hidden="false" customHeight="true" outlineLevel="0" collapsed="false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43" t="str">
        <f aca="true">IF(R100="","",MAX(0,INT(R100-TODAY())))</f>
        <v/>
      </c>
      <c r="T100" s="44" t="str">
        <f aca="true">IF(R100="","",IF(R100&lt;TODAY(),"EXPIRED",IF(R100-TODAY()&lt;=30,"EXPIRING SOON","Active")))</f>
        <v/>
      </c>
      <c r="U100" s="28"/>
    </row>
    <row r="101" customFormat="false" ht="21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3" t="str">
        <f aca="true">IF(R101="","",MAX(0,INT(R101-TODAY())))</f>
        <v/>
      </c>
      <c r="T101" s="44" t="str">
        <f aca="true">IF(R101="","",IF(R101&lt;TODAY(),"EXPIRED",IF(R101-TODAY()&lt;=30,"EXPIRING SOON","Active")))</f>
        <v/>
      </c>
      <c r="U101" s="42"/>
    </row>
    <row r="102" customFormat="false" ht="21.75" hidden="false" customHeight="true" outlineLevel="0" collapsed="false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43" t="str">
        <f aca="true">IF(R102="","",MAX(0,INT(R102-TODAY())))</f>
        <v/>
      </c>
      <c r="T102" s="44" t="str">
        <f aca="true">IF(R102="","",IF(R102&lt;TODAY(),"EXPIRED",IF(R102-TODAY()&lt;=30,"EXPIRING SOON","Active")))</f>
        <v/>
      </c>
      <c r="U102" s="28"/>
    </row>
    <row r="103" customFormat="false" ht="21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3" t="str">
        <f aca="true">IF(R103="","",MAX(0,INT(R103-TODAY())))</f>
        <v/>
      </c>
      <c r="T103" s="44" t="str">
        <f aca="true">IF(R103="","",IF(R103&lt;TODAY(),"EXPIRED",IF(R103-TODAY()&lt;=30,"EXPIRING SOON","Active")))</f>
        <v/>
      </c>
      <c r="U103" s="42"/>
    </row>
    <row r="104" customFormat="false" ht="21.75" hidden="false" customHeight="true" outlineLevel="0" collapsed="false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43" t="str">
        <f aca="true">IF(R104="","",MAX(0,INT(R104-TODAY())))</f>
        <v/>
      </c>
      <c r="T104" s="44" t="str">
        <f aca="true">IF(R104="","",IF(R104&lt;TODAY(),"EXPIRED",IF(R104-TODAY()&lt;=30,"EXPIRING SOON","Active")))</f>
        <v/>
      </c>
      <c r="U104" s="28"/>
    </row>
    <row r="105" customFormat="false" ht="21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3" t="str">
        <f aca="true">IF(R105="","",MAX(0,INT(R105-TODAY())))</f>
        <v/>
      </c>
      <c r="T105" s="44" t="str">
        <f aca="true">IF(R105="","",IF(R105&lt;TODAY(),"EXPIRED",IF(R105-TODAY()&lt;=30,"EXPIRING SOON","Active")))</f>
        <v/>
      </c>
      <c r="U105" s="42"/>
    </row>
    <row r="106" customFormat="false" ht="21.75" hidden="false" customHeight="true" outlineLevel="0" collapsed="false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43" t="str">
        <f aca="true">IF(R106="","",MAX(0,INT(R106-TODAY())))</f>
        <v/>
      </c>
      <c r="T106" s="44" t="str">
        <f aca="true">IF(R106="","",IF(R106&lt;TODAY(),"EXPIRED",IF(R106-TODAY()&lt;=30,"EXPIRING SOON","Active")))</f>
        <v/>
      </c>
      <c r="U106" s="28"/>
    </row>
  </sheetData>
  <mergeCells count="7">
    <mergeCell ref="A1:U1"/>
    <mergeCell ref="A2:U2"/>
    <mergeCell ref="A3:U3"/>
    <mergeCell ref="A5:I5"/>
    <mergeCell ref="J5:M5"/>
    <mergeCell ref="N5:R5"/>
    <mergeCell ref="S5:U5"/>
  </mergeCells>
  <dataValidations count="6">
    <dataValidation allowBlank="true" errorStyle="stop" operator="between" showDropDown="false" showErrorMessage="false" showInputMessage="false" sqref="F7:F106" type="list">
      <formula1>"Male,Female,Non-Binary,Prefer Not to Say"</formula1>
      <formula2>0</formula2>
    </dataValidation>
    <dataValidation allowBlank="true" errorStyle="stop" operator="between" showDropDown="false" showErrorMessage="false" showInputMessage="false" sqref="N7:N106" type="list">
      <formula1>"Player,Player-Coach"</formula1>
      <formula2>0</formula2>
    </dataValidation>
    <dataValidation allowBlank="true" errorStyle="stop" operator="between" showDropDown="false" showErrorMessage="false" showInputMessage="false" sqref="O7:O106" type="list">
      <formula1>"Active,Inactive,Pending,Suspended,Waitlisted"</formula1>
      <formula2>0</formula2>
    </dataValidation>
    <dataValidation allowBlank="true" errorStyle="stop" operator="between" showDropDown="false" showErrorMessage="false" showInputMessage="false" sqref="P7:P106" type="list">
      <formula1>"Monthly,Quarterly,Semi-Annual,Annual,Single Session,Custom"</formula1>
      <formula2>0</formula2>
    </dataValidation>
    <dataValidation allowBlank="true" errorStyle="stop" operator="between" showDropDown="false" showErrorMessage="false" showInputMessage="false" sqref="J7:J106" type="list">
      <formula1>'Teams and Programs'!$B$7:$B$36</formula1>
      <formula2>0</formula2>
    </dataValidation>
    <dataValidation allowBlank="true" errorStyle="stop" operator="between" showDropDown="false" showErrorMessage="false" showInputMessage="false" sqref="L7:L106" type="list">
      <formula1>'Teams and Programs'!$E$7:$E$36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T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24"/>
    <col collapsed="false" customWidth="true" hidden="false" outlineLevel="0" max="6" min="6" style="0" width="15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9" min="9" style="0" width="13"/>
    <col collapsed="false" customWidth="true" hidden="false" outlineLevel="0" max="10" min="10" style="0" width="22"/>
    <col collapsed="false" customWidth="true" hidden="false" outlineLevel="0" max="11" min="11" style="0" width="13"/>
    <col collapsed="false" customWidth="true" hidden="false" outlineLevel="0" max="12" min="12" style="0" width="20"/>
    <col collapsed="false" customWidth="true" hidden="false" outlineLevel="0" max="14" min="13" style="0" width="18"/>
    <col collapsed="false" customWidth="true" hidden="false" outlineLevel="0" max="15" min="15" style="0" width="17"/>
    <col collapsed="false" customWidth="true" hidden="false" outlineLevel="0" max="17" min="16" style="0" width="15"/>
    <col collapsed="false" customWidth="true" hidden="false" outlineLevel="0" max="18" min="18" style="0" width="13"/>
    <col collapsed="false" customWidth="true" hidden="false" outlineLevel="0" max="19" min="19" style="0" width="14"/>
    <col collapsed="false" customWidth="true" hidden="false" outlineLevel="0" max="20" min="20" style="0" width="26"/>
  </cols>
  <sheetData>
    <row r="1" customFormat="false" ht="12" hidden="false" customHeight="true" outlineLevel="0" collapsed="false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</row>
    <row r="2" customFormat="false" ht="37.5" hidden="false" customHeight="true" outlineLevel="0" collapsed="false">
      <c r="A2" s="46" t="s">
        <v>123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</row>
    <row r="3" customFormat="false" ht="21.75" hidden="false" customHeight="true" outlineLevel="0" collapsed="false">
      <c r="A3" s="47" t="s">
        <v>124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</row>
    <row r="4" customFormat="false" ht="7.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customFormat="false" ht="15.75" hidden="false" customHeight="true" outlineLevel="0" collapsed="false">
      <c r="A5" s="39" t="s">
        <v>125</v>
      </c>
      <c r="B5" s="39"/>
      <c r="C5" s="39"/>
      <c r="D5" s="39"/>
      <c r="E5" s="39"/>
      <c r="F5" s="39"/>
      <c r="G5" s="39"/>
      <c r="H5" s="33" t="s">
        <v>88</v>
      </c>
      <c r="I5" s="33"/>
      <c r="J5" s="33"/>
      <c r="K5" s="33"/>
      <c r="L5" s="32" t="s">
        <v>126</v>
      </c>
      <c r="M5" s="32"/>
      <c r="N5" s="32"/>
      <c r="O5" s="48" t="s">
        <v>127</v>
      </c>
      <c r="P5" s="48"/>
      <c r="Q5" s="48"/>
      <c r="R5" s="48"/>
      <c r="S5" s="48"/>
      <c r="T5" s="49" t="s">
        <v>128</v>
      </c>
    </row>
    <row r="6" customFormat="false" ht="37.5" hidden="false" customHeight="true" outlineLevel="0" collapsed="false">
      <c r="A6" s="41"/>
      <c r="B6" s="41" t="s">
        <v>129</v>
      </c>
      <c r="C6" s="41" t="s">
        <v>54</v>
      </c>
      <c r="D6" s="41" t="s">
        <v>55</v>
      </c>
      <c r="E6" s="41" t="s">
        <v>130</v>
      </c>
      <c r="F6" s="41" t="s">
        <v>57</v>
      </c>
      <c r="G6" s="41" t="s">
        <v>131</v>
      </c>
      <c r="H6" s="22" t="s">
        <v>25</v>
      </c>
      <c r="I6" s="22" t="s">
        <v>96</v>
      </c>
      <c r="J6" s="22" t="s">
        <v>27</v>
      </c>
      <c r="K6" s="22" t="s">
        <v>97</v>
      </c>
      <c r="L6" s="23" t="s">
        <v>132</v>
      </c>
      <c r="M6" s="23" t="s">
        <v>133</v>
      </c>
      <c r="N6" s="23" t="s">
        <v>99</v>
      </c>
      <c r="O6" s="50" t="s">
        <v>100</v>
      </c>
      <c r="P6" s="50" t="s">
        <v>101</v>
      </c>
      <c r="Q6" s="50" t="s">
        <v>102</v>
      </c>
      <c r="R6" s="50" t="s">
        <v>103</v>
      </c>
      <c r="S6" s="50" t="s">
        <v>104</v>
      </c>
      <c r="T6" s="51" t="s">
        <v>63</v>
      </c>
    </row>
    <row r="7" customFormat="false" ht="21.75" hidden="false" customHeight="true" outlineLevel="0" collapsed="false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3" t="str">
        <f aca="true">IF(Q7="","",MAX(0,INT(Q7-TODAY())))</f>
        <v/>
      </c>
      <c r="S7" s="54" t="str">
        <f aca="true">IF(Q7="","",IF(Q7&lt;TODAY(),"EXPIRED",IF(Q7-TODAY()&lt;=30,"EXPIRING SOON","Active")))</f>
        <v/>
      </c>
      <c r="T7" s="55"/>
    </row>
    <row r="8" customFormat="false" ht="21.75" hidden="false" customHeight="true" outlineLevel="0" collapsed="false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53" t="str">
        <f aca="true">IF(Q8="","",MAX(0,INT(Q8-TODAY())))</f>
        <v/>
      </c>
      <c r="S8" s="54" t="str">
        <f aca="true">IF(Q8="","",IF(Q8&lt;TODAY(),"EXPIRED",IF(Q8-TODAY()&lt;=30,"EXPIRING SOON","Active")))</f>
        <v/>
      </c>
      <c r="T8" s="56"/>
    </row>
    <row r="9" customFormat="false" ht="21.75" hidden="false" customHeight="true" outlineLevel="0" collapsed="false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3" t="str">
        <f aca="true">IF(Q9="","",MAX(0,INT(Q9-TODAY())))</f>
        <v/>
      </c>
      <c r="S9" s="54" t="str">
        <f aca="true">IF(Q9="","",IF(Q9&lt;TODAY(),"EXPIRED",IF(Q9-TODAY()&lt;=30,"EXPIRING SOON","Active")))</f>
        <v/>
      </c>
      <c r="T9" s="55"/>
    </row>
    <row r="10" customFormat="false" ht="21.75" hidden="false" customHeight="true" outlineLevel="0" collapsed="false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53" t="str">
        <f aca="true">IF(Q10="","",MAX(0,INT(Q10-TODAY())))</f>
        <v/>
      </c>
      <c r="S10" s="54" t="str">
        <f aca="true">IF(Q10="","",IF(Q10&lt;TODAY(),"EXPIRED",IF(Q10-TODAY()&lt;=30,"EXPIRING SOON","Active")))</f>
        <v/>
      </c>
      <c r="T10" s="56"/>
    </row>
    <row r="11" customFormat="false" ht="21.75" hidden="false" customHeight="true" outlineLevel="0" collapsed="false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3" t="str">
        <f aca="true">IF(Q11="","",MAX(0,INT(Q11-TODAY())))</f>
        <v/>
      </c>
      <c r="S11" s="54" t="str">
        <f aca="true">IF(Q11="","",IF(Q11&lt;TODAY(),"EXPIRED",IF(Q11-TODAY()&lt;=30,"EXPIRING SOON","Active")))</f>
        <v/>
      </c>
      <c r="T11" s="55"/>
    </row>
    <row r="12" customFormat="false" ht="21.75" hidden="false" customHeight="true" outlineLevel="0" collapsed="false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53" t="str">
        <f aca="true">IF(Q12="","",MAX(0,INT(Q12-TODAY())))</f>
        <v/>
      </c>
      <c r="S12" s="54" t="str">
        <f aca="true">IF(Q12="","",IF(Q12&lt;TODAY(),"EXPIRED",IF(Q12-TODAY()&lt;=30,"EXPIRING SOON","Active")))</f>
        <v/>
      </c>
      <c r="T12" s="56"/>
    </row>
    <row r="13" customFormat="false" ht="21.75" hidden="false" customHeight="true" outlineLevel="0" collapsed="false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3" t="str">
        <f aca="true">IF(Q13="","",MAX(0,INT(Q13-TODAY())))</f>
        <v/>
      </c>
      <c r="S13" s="54" t="str">
        <f aca="true">IF(Q13="","",IF(Q13&lt;TODAY(),"EXPIRED",IF(Q13-TODAY()&lt;=30,"EXPIRING SOON","Active")))</f>
        <v/>
      </c>
      <c r="T13" s="55"/>
    </row>
    <row r="14" customFormat="false" ht="21.75" hidden="false" customHeight="true" outlineLevel="0" collapsed="false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53" t="str">
        <f aca="true">IF(Q14="","",MAX(0,INT(Q14-TODAY())))</f>
        <v/>
      </c>
      <c r="S14" s="54" t="str">
        <f aca="true">IF(Q14="","",IF(Q14&lt;TODAY(),"EXPIRED",IF(Q14-TODAY()&lt;=30,"EXPIRING SOON","Active")))</f>
        <v/>
      </c>
      <c r="T14" s="56"/>
    </row>
    <row r="15" customFormat="false" ht="21.75" hidden="false" customHeight="true" outlineLevel="0" collapsed="false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3" t="str">
        <f aca="true">IF(Q15="","",MAX(0,INT(Q15-TODAY())))</f>
        <v/>
      </c>
      <c r="S15" s="54" t="str">
        <f aca="true">IF(Q15="","",IF(Q15&lt;TODAY(),"EXPIRED",IF(Q15-TODAY()&lt;=30,"EXPIRING SOON","Active")))</f>
        <v/>
      </c>
      <c r="T15" s="55"/>
    </row>
    <row r="16" customFormat="false" ht="21.75" hidden="false" customHeight="true" outlineLevel="0" collapsed="false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53" t="str">
        <f aca="true">IF(Q16="","",MAX(0,INT(Q16-TODAY())))</f>
        <v/>
      </c>
      <c r="S16" s="54" t="str">
        <f aca="true">IF(Q16="","",IF(Q16&lt;TODAY(),"EXPIRED",IF(Q16-TODAY()&lt;=30,"EXPIRING SOON","Active")))</f>
        <v/>
      </c>
      <c r="T16" s="56"/>
    </row>
    <row r="17" customFormat="false" ht="21.75" hidden="false" customHeight="true" outlineLevel="0" collapsed="false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3" t="str">
        <f aca="true">IF(Q17="","",MAX(0,INT(Q17-TODAY())))</f>
        <v/>
      </c>
      <c r="S17" s="54" t="str">
        <f aca="true">IF(Q17="","",IF(Q17&lt;TODAY(),"EXPIRED",IF(Q17-TODAY()&lt;=30,"EXPIRING SOON","Active")))</f>
        <v/>
      </c>
      <c r="T17" s="55"/>
    </row>
    <row r="18" customFormat="false" ht="21.75" hidden="false" customHeight="true" outlineLevel="0" collapsed="false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53" t="str">
        <f aca="true">IF(Q18="","",MAX(0,INT(Q18-TODAY())))</f>
        <v/>
      </c>
      <c r="S18" s="54" t="str">
        <f aca="true">IF(Q18="","",IF(Q18&lt;TODAY(),"EXPIRED",IF(Q18-TODAY()&lt;=30,"EXPIRING SOON","Active")))</f>
        <v/>
      </c>
      <c r="T18" s="56"/>
    </row>
    <row r="19" customFormat="false" ht="21.75" hidden="false" customHeight="true" outlineLevel="0" collapsed="false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3" t="str">
        <f aca="true">IF(Q19="","",MAX(0,INT(Q19-TODAY())))</f>
        <v/>
      </c>
      <c r="S19" s="54" t="str">
        <f aca="true">IF(Q19="","",IF(Q19&lt;TODAY(),"EXPIRED",IF(Q19-TODAY()&lt;=30,"EXPIRING SOON","Active")))</f>
        <v/>
      </c>
      <c r="T19" s="55"/>
    </row>
    <row r="20" customFormat="false" ht="21.75" hidden="false" customHeight="true" outlineLevel="0" collapsed="false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53" t="str">
        <f aca="true">IF(Q20="","",MAX(0,INT(Q20-TODAY())))</f>
        <v/>
      </c>
      <c r="S20" s="54" t="str">
        <f aca="true">IF(Q20="","",IF(Q20&lt;TODAY(),"EXPIRED",IF(Q20-TODAY()&lt;=30,"EXPIRING SOON","Active")))</f>
        <v/>
      </c>
      <c r="T20" s="56"/>
    </row>
    <row r="21" customFormat="false" ht="21.75" hidden="false" customHeight="true" outlineLevel="0" collapsed="false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3" t="str">
        <f aca="true">IF(Q21="","",MAX(0,INT(Q21-TODAY())))</f>
        <v/>
      </c>
      <c r="S21" s="54" t="str">
        <f aca="true">IF(Q21="","",IF(Q21&lt;TODAY(),"EXPIRED",IF(Q21-TODAY()&lt;=30,"EXPIRING SOON","Active")))</f>
        <v/>
      </c>
      <c r="T21" s="55"/>
    </row>
    <row r="22" customFormat="false" ht="21.75" hidden="false" customHeight="true" outlineLevel="0" collapsed="false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53" t="str">
        <f aca="true">IF(Q22="","",MAX(0,INT(Q22-TODAY())))</f>
        <v/>
      </c>
      <c r="S22" s="54" t="str">
        <f aca="true">IF(Q22="","",IF(Q22&lt;TODAY(),"EXPIRED",IF(Q22-TODAY()&lt;=30,"EXPIRING SOON","Active")))</f>
        <v/>
      </c>
      <c r="T22" s="56"/>
    </row>
    <row r="23" customFormat="false" ht="21.75" hidden="false" customHeight="true" outlineLevel="0" collapsed="false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3" t="str">
        <f aca="true">IF(Q23="","",MAX(0,INT(Q23-TODAY())))</f>
        <v/>
      </c>
      <c r="S23" s="54" t="str">
        <f aca="true">IF(Q23="","",IF(Q23&lt;TODAY(),"EXPIRED",IF(Q23-TODAY()&lt;=30,"EXPIRING SOON","Active")))</f>
        <v/>
      </c>
      <c r="T23" s="55"/>
    </row>
    <row r="24" customFormat="false" ht="21.75" hidden="false" customHeight="true" outlineLevel="0" collapsed="false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53" t="str">
        <f aca="true">IF(Q24="","",MAX(0,INT(Q24-TODAY())))</f>
        <v/>
      </c>
      <c r="S24" s="54" t="str">
        <f aca="true">IF(Q24="","",IF(Q24&lt;TODAY(),"EXPIRED",IF(Q24-TODAY()&lt;=30,"EXPIRING SOON","Active")))</f>
        <v/>
      </c>
      <c r="T24" s="56"/>
    </row>
    <row r="25" customFormat="false" ht="21.75" hidden="false" customHeight="true" outlineLevel="0" collapsed="false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3" t="str">
        <f aca="true">IF(Q25="","",MAX(0,INT(Q25-TODAY())))</f>
        <v/>
      </c>
      <c r="S25" s="54" t="str">
        <f aca="true">IF(Q25="","",IF(Q25&lt;TODAY(),"EXPIRED",IF(Q25-TODAY()&lt;=30,"EXPIRING SOON","Active")))</f>
        <v/>
      </c>
      <c r="T25" s="55"/>
    </row>
    <row r="26" customFormat="false" ht="21.75" hidden="false" customHeight="true" outlineLevel="0" collapsed="false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53" t="str">
        <f aca="true">IF(Q26="","",MAX(0,INT(Q26-TODAY())))</f>
        <v/>
      </c>
      <c r="S26" s="54" t="str">
        <f aca="true">IF(Q26="","",IF(Q26&lt;TODAY(),"EXPIRED",IF(Q26-TODAY()&lt;=30,"EXPIRING SOON","Active")))</f>
        <v/>
      </c>
      <c r="T26" s="56"/>
    </row>
    <row r="27" customFormat="false" ht="21.75" hidden="false" customHeight="true" outlineLevel="0" collapsed="false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3" t="str">
        <f aca="true">IF(Q27="","",MAX(0,INT(Q27-TODAY())))</f>
        <v/>
      </c>
      <c r="S27" s="54" t="str">
        <f aca="true">IF(Q27="","",IF(Q27&lt;TODAY(),"EXPIRED",IF(Q27-TODAY()&lt;=30,"EXPIRING SOON","Active")))</f>
        <v/>
      </c>
      <c r="T27" s="55"/>
    </row>
    <row r="28" customFormat="false" ht="21.75" hidden="false" customHeight="true" outlineLevel="0" collapsed="false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53" t="str">
        <f aca="true">IF(Q28="","",MAX(0,INT(Q28-TODAY())))</f>
        <v/>
      </c>
      <c r="S28" s="54" t="str">
        <f aca="true">IF(Q28="","",IF(Q28&lt;TODAY(),"EXPIRED",IF(Q28-TODAY()&lt;=30,"EXPIRING SOON","Active")))</f>
        <v/>
      </c>
      <c r="T28" s="56"/>
    </row>
    <row r="29" customFormat="false" ht="21.75" hidden="false" customHeight="true" outlineLevel="0" collapsed="false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3" t="str">
        <f aca="true">IF(Q29="","",MAX(0,INT(Q29-TODAY())))</f>
        <v/>
      </c>
      <c r="S29" s="54" t="str">
        <f aca="true">IF(Q29="","",IF(Q29&lt;TODAY(),"EXPIRED",IF(Q29-TODAY()&lt;=30,"EXPIRING SOON","Active")))</f>
        <v/>
      </c>
      <c r="T29" s="55"/>
    </row>
    <row r="30" customFormat="false" ht="21.75" hidden="false" customHeight="true" outlineLevel="0" collapsed="false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53" t="str">
        <f aca="true">IF(Q30="","",MAX(0,INT(Q30-TODAY())))</f>
        <v/>
      </c>
      <c r="S30" s="54" t="str">
        <f aca="true">IF(Q30="","",IF(Q30&lt;TODAY(),"EXPIRED",IF(Q30-TODAY()&lt;=30,"EXPIRING SOON","Active")))</f>
        <v/>
      </c>
      <c r="T30" s="56"/>
    </row>
    <row r="31" customFormat="false" ht="21.75" hidden="false" customHeight="true" outlineLevel="0" collapsed="false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3" t="str">
        <f aca="true">IF(Q31="","",MAX(0,INT(Q31-TODAY())))</f>
        <v/>
      </c>
      <c r="S31" s="54" t="str">
        <f aca="true">IF(Q31="","",IF(Q31&lt;TODAY(),"EXPIRED",IF(Q31-TODAY()&lt;=30,"EXPIRING SOON","Active")))</f>
        <v/>
      </c>
      <c r="T31" s="55"/>
    </row>
    <row r="32" customFormat="false" ht="21.75" hidden="false" customHeight="true" outlineLevel="0" collapsed="false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53" t="str">
        <f aca="true">IF(Q32="","",MAX(0,INT(Q32-TODAY())))</f>
        <v/>
      </c>
      <c r="S32" s="54" t="str">
        <f aca="true">IF(Q32="","",IF(Q32&lt;TODAY(),"EXPIRED",IF(Q32-TODAY()&lt;=30,"EXPIRING SOON","Active")))</f>
        <v/>
      </c>
      <c r="T32" s="56"/>
    </row>
    <row r="33" customFormat="false" ht="21.75" hidden="false" customHeight="true" outlineLevel="0" collapsed="false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3" t="str">
        <f aca="true">IF(Q33="","",MAX(0,INT(Q33-TODAY())))</f>
        <v/>
      </c>
      <c r="S33" s="54" t="str">
        <f aca="true">IF(Q33="","",IF(Q33&lt;TODAY(),"EXPIRED",IF(Q33-TODAY()&lt;=30,"EXPIRING SOON","Active")))</f>
        <v/>
      </c>
      <c r="T33" s="55"/>
    </row>
    <row r="34" customFormat="false" ht="21.75" hidden="false" customHeight="true" outlineLevel="0" collapsed="false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53" t="str">
        <f aca="true">IF(Q34="","",MAX(0,INT(Q34-TODAY())))</f>
        <v/>
      </c>
      <c r="S34" s="54" t="str">
        <f aca="true">IF(Q34="","",IF(Q34&lt;TODAY(),"EXPIRED",IF(Q34-TODAY()&lt;=30,"EXPIRING SOON","Active")))</f>
        <v/>
      </c>
      <c r="T34" s="56"/>
    </row>
    <row r="35" customFormat="false" ht="21.75" hidden="false" customHeight="true" outlineLevel="0" collapsed="false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3" t="str">
        <f aca="true">IF(Q35="","",MAX(0,INT(Q35-TODAY())))</f>
        <v/>
      </c>
      <c r="S35" s="54" t="str">
        <f aca="true">IF(Q35="","",IF(Q35&lt;TODAY(),"EXPIRED",IF(Q35-TODAY()&lt;=30,"EXPIRING SOON","Active")))</f>
        <v/>
      </c>
      <c r="T35" s="55"/>
    </row>
    <row r="36" customFormat="false" ht="21.75" hidden="false" customHeight="true" outlineLevel="0" collapsed="false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53" t="str">
        <f aca="true">IF(Q36="","",MAX(0,INT(Q36-TODAY())))</f>
        <v/>
      </c>
      <c r="S36" s="54" t="str">
        <f aca="true">IF(Q36="","",IF(Q36&lt;TODAY(),"EXPIRED",IF(Q36-TODAY()&lt;=30,"EXPIRING SOON","Active")))</f>
        <v/>
      </c>
      <c r="T36" s="56"/>
    </row>
    <row r="37" customFormat="false" ht="21.75" hidden="false" customHeight="true" outlineLevel="0" collapsed="false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3" t="str">
        <f aca="true">IF(Q37="","",MAX(0,INT(Q37-TODAY())))</f>
        <v/>
      </c>
      <c r="S37" s="54" t="str">
        <f aca="true">IF(Q37="","",IF(Q37&lt;TODAY(),"EXPIRED",IF(Q37-TODAY()&lt;=30,"EXPIRING SOON","Active")))</f>
        <v/>
      </c>
      <c r="T37" s="55"/>
    </row>
    <row r="38" customFormat="false" ht="21.75" hidden="false" customHeight="true" outlineLevel="0" collapsed="false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53" t="str">
        <f aca="true">IF(Q38="","",MAX(0,INT(Q38-TODAY())))</f>
        <v/>
      </c>
      <c r="S38" s="54" t="str">
        <f aca="true">IF(Q38="","",IF(Q38&lt;TODAY(),"EXPIRED",IF(Q38-TODAY()&lt;=30,"EXPIRING SOON","Active")))</f>
        <v/>
      </c>
      <c r="T38" s="56"/>
    </row>
    <row r="39" customFormat="false" ht="21.75" hidden="false" customHeight="true" outlineLevel="0" collapsed="false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3" t="str">
        <f aca="true">IF(Q39="","",MAX(0,INT(Q39-TODAY())))</f>
        <v/>
      </c>
      <c r="S39" s="54" t="str">
        <f aca="true">IF(Q39="","",IF(Q39&lt;TODAY(),"EXPIRED",IF(Q39-TODAY()&lt;=30,"EXPIRING SOON","Active")))</f>
        <v/>
      </c>
      <c r="T39" s="55"/>
    </row>
    <row r="40" customFormat="false" ht="21.75" hidden="false" customHeight="true" outlineLevel="0" collapsed="false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53" t="str">
        <f aca="true">IF(Q40="","",MAX(0,INT(Q40-TODAY())))</f>
        <v/>
      </c>
      <c r="S40" s="54" t="str">
        <f aca="true">IF(Q40="","",IF(Q40&lt;TODAY(),"EXPIRED",IF(Q40-TODAY()&lt;=30,"EXPIRING SOON","Active")))</f>
        <v/>
      </c>
      <c r="T40" s="56"/>
    </row>
    <row r="41" customFormat="false" ht="21.75" hidden="false" customHeight="true" outlineLevel="0" collapsed="false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3" t="str">
        <f aca="true">IF(Q41="","",MAX(0,INT(Q41-TODAY())))</f>
        <v/>
      </c>
      <c r="S41" s="54" t="str">
        <f aca="true">IF(Q41="","",IF(Q41&lt;TODAY(),"EXPIRED",IF(Q41-TODAY()&lt;=30,"EXPIRING SOON","Active")))</f>
        <v/>
      </c>
      <c r="T41" s="55"/>
    </row>
    <row r="42" customFormat="false" ht="21.75" hidden="false" customHeight="true" outlineLevel="0" collapsed="false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53" t="str">
        <f aca="true">IF(Q42="","",MAX(0,INT(Q42-TODAY())))</f>
        <v/>
      </c>
      <c r="S42" s="54" t="str">
        <f aca="true">IF(Q42="","",IF(Q42&lt;TODAY(),"EXPIRED",IF(Q42-TODAY()&lt;=30,"EXPIRING SOON","Active")))</f>
        <v/>
      </c>
      <c r="T42" s="56"/>
    </row>
    <row r="43" customFormat="false" ht="21.75" hidden="false" customHeight="true" outlineLevel="0" collapsed="false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3" t="str">
        <f aca="true">IF(Q43="","",MAX(0,INT(Q43-TODAY())))</f>
        <v/>
      </c>
      <c r="S43" s="54" t="str">
        <f aca="true">IF(Q43="","",IF(Q43&lt;TODAY(),"EXPIRED",IF(Q43-TODAY()&lt;=30,"EXPIRING SOON","Active")))</f>
        <v/>
      </c>
      <c r="T43" s="55"/>
    </row>
    <row r="44" customFormat="false" ht="21.75" hidden="false" customHeight="true" outlineLevel="0" collapsed="false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53" t="str">
        <f aca="true">IF(Q44="","",MAX(0,INT(Q44-TODAY())))</f>
        <v/>
      </c>
      <c r="S44" s="54" t="str">
        <f aca="true">IF(Q44="","",IF(Q44&lt;TODAY(),"EXPIRED",IF(Q44-TODAY()&lt;=30,"EXPIRING SOON","Active")))</f>
        <v/>
      </c>
      <c r="T44" s="56"/>
    </row>
    <row r="45" customFormat="false" ht="21.75" hidden="false" customHeight="true" outlineLevel="0" collapsed="false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3" t="str">
        <f aca="true">IF(Q45="","",MAX(0,INT(Q45-TODAY())))</f>
        <v/>
      </c>
      <c r="S45" s="54" t="str">
        <f aca="true">IF(Q45="","",IF(Q45&lt;TODAY(),"EXPIRED",IF(Q45-TODAY()&lt;=30,"EXPIRING SOON","Active")))</f>
        <v/>
      </c>
      <c r="T45" s="55"/>
    </row>
    <row r="46" customFormat="false" ht="21.75" hidden="false" customHeight="true" outlineLevel="0" collapsed="false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53" t="str">
        <f aca="true">IF(Q46="","",MAX(0,INT(Q46-TODAY())))</f>
        <v/>
      </c>
      <c r="S46" s="54" t="str">
        <f aca="true">IF(Q46="","",IF(Q46&lt;TODAY(),"EXPIRED",IF(Q46-TODAY()&lt;=30,"EXPIRING SOON","Active")))</f>
        <v/>
      </c>
      <c r="T46" s="56"/>
    </row>
    <row r="47" customFormat="false" ht="21.75" hidden="false" customHeight="true" outlineLevel="0" collapsed="false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3" t="str">
        <f aca="true">IF(Q47="","",MAX(0,INT(Q47-TODAY())))</f>
        <v/>
      </c>
      <c r="S47" s="54" t="str">
        <f aca="true">IF(Q47="","",IF(Q47&lt;TODAY(),"EXPIRED",IF(Q47-TODAY()&lt;=30,"EXPIRING SOON","Active")))</f>
        <v/>
      </c>
      <c r="T47" s="55"/>
    </row>
    <row r="48" customFormat="false" ht="21.75" hidden="false" customHeight="true" outlineLevel="0" collapsed="false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53" t="str">
        <f aca="true">IF(Q48="","",MAX(0,INT(Q48-TODAY())))</f>
        <v/>
      </c>
      <c r="S48" s="54" t="str">
        <f aca="true">IF(Q48="","",IF(Q48&lt;TODAY(),"EXPIRED",IF(Q48-TODAY()&lt;=30,"EXPIRING SOON","Active")))</f>
        <v/>
      </c>
      <c r="T48" s="56"/>
    </row>
    <row r="49" customFormat="false" ht="21.75" hidden="false" customHeight="true" outlineLevel="0" collapsed="false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3" t="str">
        <f aca="true">IF(Q49="","",MAX(0,INT(Q49-TODAY())))</f>
        <v/>
      </c>
      <c r="S49" s="54" t="str">
        <f aca="true">IF(Q49="","",IF(Q49&lt;TODAY(),"EXPIRED",IF(Q49-TODAY()&lt;=30,"EXPIRING SOON","Active")))</f>
        <v/>
      </c>
      <c r="T49" s="55"/>
    </row>
    <row r="50" customFormat="false" ht="21.75" hidden="false" customHeight="true" outlineLevel="0" collapsed="false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53" t="str">
        <f aca="true">IF(Q50="","",MAX(0,INT(Q50-TODAY())))</f>
        <v/>
      </c>
      <c r="S50" s="54" t="str">
        <f aca="true">IF(Q50="","",IF(Q50&lt;TODAY(),"EXPIRED",IF(Q50-TODAY()&lt;=30,"EXPIRING SOON","Active")))</f>
        <v/>
      </c>
      <c r="T50" s="56"/>
    </row>
    <row r="51" customFormat="false" ht="21.75" hidden="false" customHeight="true" outlineLevel="0" collapsed="false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3" t="str">
        <f aca="true">IF(Q51="","",MAX(0,INT(Q51-TODAY())))</f>
        <v/>
      </c>
      <c r="S51" s="54" t="str">
        <f aca="true">IF(Q51="","",IF(Q51&lt;TODAY(),"EXPIRED",IF(Q51-TODAY()&lt;=30,"EXPIRING SOON","Active")))</f>
        <v/>
      </c>
      <c r="T51" s="55"/>
    </row>
    <row r="52" customFormat="false" ht="21.75" hidden="false" customHeight="true" outlineLevel="0" collapsed="false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53" t="str">
        <f aca="true">IF(Q52="","",MAX(0,INT(Q52-TODAY())))</f>
        <v/>
      </c>
      <c r="S52" s="54" t="str">
        <f aca="true">IF(Q52="","",IF(Q52&lt;TODAY(),"EXPIRED",IF(Q52-TODAY()&lt;=30,"EXPIRING SOON","Active")))</f>
        <v/>
      </c>
      <c r="T52" s="56"/>
    </row>
    <row r="53" customFormat="false" ht="21.75" hidden="false" customHeight="true" outlineLevel="0" collapsed="false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3" t="str">
        <f aca="true">IF(Q53="","",MAX(0,INT(Q53-TODAY())))</f>
        <v/>
      </c>
      <c r="S53" s="54" t="str">
        <f aca="true">IF(Q53="","",IF(Q53&lt;TODAY(),"EXPIRED",IF(Q53-TODAY()&lt;=30,"EXPIRING SOON","Active")))</f>
        <v/>
      </c>
      <c r="T53" s="55"/>
    </row>
    <row r="54" customFormat="false" ht="21.75" hidden="false" customHeight="true" outlineLevel="0" collapsed="false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53" t="str">
        <f aca="true">IF(Q54="","",MAX(0,INT(Q54-TODAY())))</f>
        <v/>
      </c>
      <c r="S54" s="54" t="str">
        <f aca="true">IF(Q54="","",IF(Q54&lt;TODAY(),"EXPIRED",IF(Q54-TODAY()&lt;=30,"EXPIRING SOON","Active")))</f>
        <v/>
      </c>
      <c r="T54" s="56"/>
    </row>
    <row r="55" customFormat="false" ht="21.75" hidden="false" customHeight="true" outlineLevel="0" collapsed="false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3" t="str">
        <f aca="true">IF(Q55="","",MAX(0,INT(Q55-TODAY())))</f>
        <v/>
      </c>
      <c r="S55" s="54" t="str">
        <f aca="true">IF(Q55="","",IF(Q55&lt;TODAY(),"EXPIRED",IF(Q55-TODAY()&lt;=30,"EXPIRING SOON","Active")))</f>
        <v/>
      </c>
      <c r="T55" s="55"/>
    </row>
    <row r="56" customFormat="false" ht="21.75" hidden="false" customHeight="true" outlineLevel="0" collapsed="false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53" t="str">
        <f aca="true">IF(Q56="","",MAX(0,INT(Q56-TODAY())))</f>
        <v/>
      </c>
      <c r="S56" s="54" t="str">
        <f aca="true">IF(Q56="","",IF(Q56&lt;TODAY(),"EXPIRED",IF(Q56-TODAY()&lt;=30,"EXPIRING SOON","Active")))</f>
        <v/>
      </c>
      <c r="T56" s="56"/>
    </row>
    <row r="57" customFormat="false" ht="21.75" hidden="false" customHeight="true" outlineLevel="0" collapsed="false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3" t="str">
        <f aca="true">IF(Q57="","",MAX(0,INT(Q57-TODAY())))</f>
        <v/>
      </c>
      <c r="S57" s="54" t="str">
        <f aca="true">IF(Q57="","",IF(Q57&lt;TODAY(),"EXPIRED",IF(Q57-TODAY()&lt;=30,"EXPIRING SOON","Active")))</f>
        <v/>
      </c>
      <c r="T57" s="55"/>
    </row>
    <row r="58" customFormat="false" ht="21.75" hidden="false" customHeight="true" outlineLevel="0" collapsed="false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53" t="str">
        <f aca="true">IF(Q58="","",MAX(0,INT(Q58-TODAY())))</f>
        <v/>
      </c>
      <c r="S58" s="54" t="str">
        <f aca="true">IF(Q58="","",IF(Q58&lt;TODAY(),"EXPIRED",IF(Q58-TODAY()&lt;=30,"EXPIRING SOON","Active")))</f>
        <v/>
      </c>
      <c r="T58" s="56"/>
    </row>
    <row r="59" customFormat="false" ht="21.75" hidden="false" customHeight="true" outlineLevel="0" collapsed="false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3" t="str">
        <f aca="true">IF(Q59="","",MAX(0,INT(Q59-TODAY())))</f>
        <v/>
      </c>
      <c r="S59" s="54" t="str">
        <f aca="true">IF(Q59="","",IF(Q59&lt;TODAY(),"EXPIRED",IF(Q59-TODAY()&lt;=30,"EXPIRING SOON","Active")))</f>
        <v/>
      </c>
      <c r="T59" s="55"/>
    </row>
    <row r="60" customFormat="false" ht="21.75" hidden="false" customHeight="true" outlineLevel="0" collapsed="false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53" t="str">
        <f aca="true">IF(Q60="","",MAX(0,INT(Q60-TODAY())))</f>
        <v/>
      </c>
      <c r="S60" s="54" t="str">
        <f aca="true">IF(Q60="","",IF(Q60&lt;TODAY(),"EXPIRED",IF(Q60-TODAY()&lt;=30,"EXPIRING SOON","Active")))</f>
        <v/>
      </c>
      <c r="T60" s="56"/>
    </row>
    <row r="61" customFormat="false" ht="21.75" hidden="false" customHeight="true" outlineLevel="0" collapsed="false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3" t="str">
        <f aca="true">IF(Q61="","",MAX(0,INT(Q61-TODAY())))</f>
        <v/>
      </c>
      <c r="S61" s="54" t="str">
        <f aca="true">IF(Q61="","",IF(Q61&lt;TODAY(),"EXPIRED",IF(Q61-TODAY()&lt;=30,"EXPIRING SOON","Active")))</f>
        <v/>
      </c>
      <c r="T61" s="55"/>
    </row>
    <row r="62" customFormat="false" ht="21.75" hidden="false" customHeight="true" outlineLevel="0" collapsed="false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53" t="str">
        <f aca="true">IF(Q62="","",MAX(0,INT(Q62-TODAY())))</f>
        <v/>
      </c>
      <c r="S62" s="54" t="str">
        <f aca="true">IF(Q62="","",IF(Q62&lt;TODAY(),"EXPIRED",IF(Q62-TODAY()&lt;=30,"EXPIRING SOON","Active")))</f>
        <v/>
      </c>
      <c r="T62" s="56"/>
    </row>
    <row r="63" customFormat="false" ht="21.75" hidden="false" customHeight="true" outlineLevel="0" collapsed="false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3" t="str">
        <f aca="true">IF(Q63="","",MAX(0,INT(Q63-TODAY())))</f>
        <v/>
      </c>
      <c r="S63" s="54" t="str">
        <f aca="true">IF(Q63="","",IF(Q63&lt;TODAY(),"EXPIRED",IF(Q63-TODAY()&lt;=30,"EXPIRING SOON","Active")))</f>
        <v/>
      </c>
      <c r="T63" s="55"/>
    </row>
    <row r="64" customFormat="false" ht="21.75" hidden="false" customHeight="true" outlineLevel="0" collapsed="false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53" t="str">
        <f aca="true">IF(Q64="","",MAX(0,INT(Q64-TODAY())))</f>
        <v/>
      </c>
      <c r="S64" s="54" t="str">
        <f aca="true">IF(Q64="","",IF(Q64&lt;TODAY(),"EXPIRED",IF(Q64-TODAY()&lt;=30,"EXPIRING SOON","Active")))</f>
        <v/>
      </c>
      <c r="T64" s="56"/>
    </row>
    <row r="65" customFormat="false" ht="21.75" hidden="false" customHeight="true" outlineLevel="0" collapsed="false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3" t="str">
        <f aca="true">IF(Q65="","",MAX(0,INT(Q65-TODAY())))</f>
        <v/>
      </c>
      <c r="S65" s="54" t="str">
        <f aca="true">IF(Q65="","",IF(Q65&lt;TODAY(),"EXPIRED",IF(Q65-TODAY()&lt;=30,"EXPIRING SOON","Active")))</f>
        <v/>
      </c>
      <c r="T65" s="55"/>
    </row>
    <row r="66" customFormat="false" ht="21.75" hidden="false" customHeight="true" outlineLevel="0" collapsed="false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53" t="str">
        <f aca="true">IF(Q66="","",MAX(0,INT(Q66-TODAY())))</f>
        <v/>
      </c>
      <c r="S66" s="54" t="str">
        <f aca="true">IF(Q66="","",IF(Q66&lt;TODAY(),"EXPIRED",IF(Q66-TODAY()&lt;=30,"EXPIRING SOON","Active")))</f>
        <v/>
      </c>
      <c r="T66" s="56"/>
    </row>
    <row r="67" customFormat="false" ht="21.75" hidden="false" customHeight="true" outlineLevel="0" collapsed="false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3" t="str">
        <f aca="true">IF(Q67="","",MAX(0,INT(Q67-TODAY())))</f>
        <v/>
      </c>
      <c r="S67" s="54" t="str">
        <f aca="true">IF(Q67="","",IF(Q67&lt;TODAY(),"EXPIRED",IF(Q67-TODAY()&lt;=30,"EXPIRING SOON","Active")))</f>
        <v/>
      </c>
      <c r="T67" s="55"/>
    </row>
    <row r="68" customFormat="false" ht="21.75" hidden="false" customHeight="true" outlineLevel="0" collapsed="false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53" t="str">
        <f aca="true">IF(Q68="","",MAX(0,INT(Q68-TODAY())))</f>
        <v/>
      </c>
      <c r="S68" s="54" t="str">
        <f aca="true">IF(Q68="","",IF(Q68&lt;TODAY(),"EXPIRED",IF(Q68-TODAY()&lt;=30,"EXPIRING SOON","Active")))</f>
        <v/>
      </c>
      <c r="T68" s="56"/>
    </row>
    <row r="69" customFormat="false" ht="21.75" hidden="false" customHeight="true" outlineLevel="0" collapsed="false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3" t="str">
        <f aca="true">IF(Q69="","",MAX(0,INT(Q69-TODAY())))</f>
        <v/>
      </c>
      <c r="S69" s="54" t="str">
        <f aca="true">IF(Q69="","",IF(Q69&lt;TODAY(),"EXPIRED",IF(Q69-TODAY()&lt;=30,"EXPIRING SOON","Active")))</f>
        <v/>
      </c>
      <c r="T69" s="55"/>
    </row>
    <row r="70" customFormat="false" ht="21.75" hidden="false" customHeight="true" outlineLevel="0" collapsed="false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53" t="str">
        <f aca="true">IF(Q70="","",MAX(0,INT(Q70-TODAY())))</f>
        <v/>
      </c>
      <c r="S70" s="54" t="str">
        <f aca="true">IF(Q70="","",IF(Q70&lt;TODAY(),"EXPIRED",IF(Q70-TODAY()&lt;=30,"EXPIRING SOON","Active")))</f>
        <v/>
      </c>
      <c r="T70" s="56"/>
    </row>
    <row r="71" customFormat="false" ht="21.75" hidden="false" customHeight="true" outlineLevel="0" collapsed="false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3" t="str">
        <f aca="true">IF(Q71="","",MAX(0,INT(Q71-TODAY())))</f>
        <v/>
      </c>
      <c r="S71" s="54" t="str">
        <f aca="true">IF(Q71="","",IF(Q71&lt;TODAY(),"EXPIRED",IF(Q71-TODAY()&lt;=30,"EXPIRING SOON","Active")))</f>
        <v/>
      </c>
      <c r="T71" s="55"/>
    </row>
    <row r="72" customFormat="false" ht="21.75" hidden="false" customHeight="true" outlineLevel="0" collapsed="false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53" t="str">
        <f aca="true">IF(Q72="","",MAX(0,INT(Q72-TODAY())))</f>
        <v/>
      </c>
      <c r="S72" s="54" t="str">
        <f aca="true">IF(Q72="","",IF(Q72&lt;TODAY(),"EXPIRED",IF(Q72-TODAY()&lt;=30,"EXPIRING SOON","Active")))</f>
        <v/>
      </c>
      <c r="T72" s="56"/>
    </row>
    <row r="73" customFormat="false" ht="21.75" hidden="false" customHeight="true" outlineLevel="0" collapsed="false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3" t="str">
        <f aca="true">IF(Q73="","",MAX(0,INT(Q73-TODAY())))</f>
        <v/>
      </c>
      <c r="S73" s="54" t="str">
        <f aca="true">IF(Q73="","",IF(Q73&lt;TODAY(),"EXPIRED",IF(Q73-TODAY()&lt;=30,"EXPIRING SOON","Active")))</f>
        <v/>
      </c>
      <c r="T73" s="55"/>
    </row>
    <row r="74" customFormat="false" ht="21.75" hidden="false" customHeight="true" outlineLevel="0" collapsed="false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53" t="str">
        <f aca="true">IF(Q74="","",MAX(0,INT(Q74-TODAY())))</f>
        <v/>
      </c>
      <c r="S74" s="54" t="str">
        <f aca="true">IF(Q74="","",IF(Q74&lt;TODAY(),"EXPIRED",IF(Q74-TODAY()&lt;=30,"EXPIRING SOON","Active")))</f>
        <v/>
      </c>
      <c r="T74" s="56"/>
    </row>
    <row r="75" customFormat="false" ht="21.75" hidden="false" customHeight="true" outlineLevel="0" collapsed="false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3" t="str">
        <f aca="true">IF(Q75="","",MAX(0,INT(Q75-TODAY())))</f>
        <v/>
      </c>
      <c r="S75" s="54" t="str">
        <f aca="true">IF(Q75="","",IF(Q75&lt;TODAY(),"EXPIRED",IF(Q75-TODAY()&lt;=30,"EXPIRING SOON","Active")))</f>
        <v/>
      </c>
      <c r="T75" s="55"/>
    </row>
    <row r="76" customFormat="false" ht="21.75" hidden="false" customHeight="true" outlineLevel="0" collapsed="false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53" t="str">
        <f aca="true">IF(Q76="","",MAX(0,INT(Q76-TODAY())))</f>
        <v/>
      </c>
      <c r="S76" s="54" t="str">
        <f aca="true">IF(Q76="","",IF(Q76&lt;TODAY(),"EXPIRED",IF(Q76-TODAY()&lt;=30,"EXPIRING SOON","Active")))</f>
        <v/>
      </c>
      <c r="T76" s="56"/>
    </row>
    <row r="77" customFormat="false" ht="21.75" hidden="false" customHeight="true" outlineLevel="0" collapsed="false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3" t="str">
        <f aca="true">IF(Q77="","",MAX(0,INT(Q77-TODAY())))</f>
        <v/>
      </c>
      <c r="S77" s="54" t="str">
        <f aca="true">IF(Q77="","",IF(Q77&lt;TODAY(),"EXPIRED",IF(Q77-TODAY()&lt;=30,"EXPIRING SOON","Active")))</f>
        <v/>
      </c>
      <c r="T77" s="55"/>
    </row>
    <row r="78" customFormat="false" ht="21.75" hidden="false" customHeight="true" outlineLevel="0" collapsed="false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53" t="str">
        <f aca="true">IF(Q78="","",MAX(0,INT(Q78-TODAY())))</f>
        <v/>
      </c>
      <c r="S78" s="54" t="str">
        <f aca="true">IF(Q78="","",IF(Q78&lt;TODAY(),"EXPIRED",IF(Q78-TODAY()&lt;=30,"EXPIRING SOON","Active")))</f>
        <v/>
      </c>
      <c r="T78" s="56"/>
    </row>
    <row r="79" customFormat="false" ht="21.75" hidden="false" customHeight="true" outlineLevel="0" collapsed="false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3" t="str">
        <f aca="true">IF(Q79="","",MAX(0,INT(Q79-TODAY())))</f>
        <v/>
      </c>
      <c r="S79" s="54" t="str">
        <f aca="true">IF(Q79="","",IF(Q79&lt;TODAY(),"EXPIRED",IF(Q79-TODAY()&lt;=30,"EXPIRING SOON","Active")))</f>
        <v/>
      </c>
      <c r="T79" s="55"/>
    </row>
    <row r="80" customFormat="false" ht="21.75" hidden="false" customHeight="true" outlineLevel="0" collapsed="false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53" t="str">
        <f aca="true">IF(Q80="","",MAX(0,INT(Q80-TODAY())))</f>
        <v/>
      </c>
      <c r="S80" s="54" t="str">
        <f aca="true">IF(Q80="","",IF(Q80&lt;TODAY(),"EXPIRED",IF(Q80-TODAY()&lt;=30,"EXPIRING SOON","Active")))</f>
        <v/>
      </c>
      <c r="T80" s="56"/>
    </row>
    <row r="81" customFormat="false" ht="21.75" hidden="false" customHeight="true" outlineLevel="0" collapsed="false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3" t="str">
        <f aca="true">IF(Q81="","",MAX(0,INT(Q81-TODAY())))</f>
        <v/>
      </c>
      <c r="S81" s="54" t="str">
        <f aca="true">IF(Q81="","",IF(Q81&lt;TODAY(),"EXPIRED",IF(Q81-TODAY()&lt;=30,"EXPIRING SOON","Active")))</f>
        <v/>
      </c>
      <c r="T81" s="55"/>
    </row>
    <row r="82" customFormat="false" ht="21.75" hidden="false" customHeight="true" outlineLevel="0" collapsed="false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53" t="str">
        <f aca="true">IF(Q82="","",MAX(0,INT(Q82-TODAY())))</f>
        <v/>
      </c>
      <c r="S82" s="54" t="str">
        <f aca="true">IF(Q82="","",IF(Q82&lt;TODAY(),"EXPIRED",IF(Q82-TODAY()&lt;=30,"EXPIRING SOON","Active")))</f>
        <v/>
      </c>
      <c r="T82" s="56"/>
    </row>
    <row r="83" customFormat="false" ht="21.75" hidden="false" customHeight="true" outlineLevel="0" collapsed="false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3" t="str">
        <f aca="true">IF(Q83="","",MAX(0,INT(Q83-TODAY())))</f>
        <v/>
      </c>
      <c r="S83" s="54" t="str">
        <f aca="true">IF(Q83="","",IF(Q83&lt;TODAY(),"EXPIRED",IF(Q83-TODAY()&lt;=30,"EXPIRING SOON","Active")))</f>
        <v/>
      </c>
      <c r="T83" s="55"/>
    </row>
    <row r="84" customFormat="false" ht="21.75" hidden="false" customHeight="true" outlineLevel="0" collapsed="false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53" t="str">
        <f aca="true">IF(Q84="","",MAX(0,INT(Q84-TODAY())))</f>
        <v/>
      </c>
      <c r="S84" s="54" t="str">
        <f aca="true">IF(Q84="","",IF(Q84&lt;TODAY(),"EXPIRED",IF(Q84-TODAY()&lt;=30,"EXPIRING SOON","Active")))</f>
        <v/>
      </c>
      <c r="T84" s="56"/>
    </row>
    <row r="85" customFormat="false" ht="21.75" hidden="false" customHeight="true" outlineLevel="0" collapsed="false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3" t="str">
        <f aca="true">IF(Q85="","",MAX(0,INT(Q85-TODAY())))</f>
        <v/>
      </c>
      <c r="S85" s="54" t="str">
        <f aca="true">IF(Q85="","",IF(Q85&lt;TODAY(),"EXPIRED",IF(Q85-TODAY()&lt;=30,"EXPIRING SOON","Active")))</f>
        <v/>
      </c>
      <c r="T85" s="55"/>
    </row>
    <row r="86" customFormat="false" ht="21.75" hidden="false" customHeight="true" outlineLevel="0" collapsed="false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53" t="str">
        <f aca="true">IF(Q86="","",MAX(0,INT(Q86-TODAY())))</f>
        <v/>
      </c>
      <c r="S86" s="54" t="str">
        <f aca="true">IF(Q86="","",IF(Q86&lt;TODAY(),"EXPIRED",IF(Q86-TODAY()&lt;=30,"EXPIRING SOON","Active")))</f>
        <v/>
      </c>
      <c r="T86" s="56"/>
    </row>
    <row r="87" customFormat="false" ht="21.75" hidden="false" customHeight="true" outlineLevel="0" collapsed="false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3" t="str">
        <f aca="true">IF(Q87="","",MAX(0,INT(Q87-TODAY())))</f>
        <v/>
      </c>
      <c r="S87" s="54" t="str">
        <f aca="true">IF(Q87="","",IF(Q87&lt;TODAY(),"EXPIRED",IF(Q87-TODAY()&lt;=30,"EXPIRING SOON","Active")))</f>
        <v/>
      </c>
      <c r="T87" s="55"/>
    </row>
    <row r="88" customFormat="false" ht="21.75" hidden="false" customHeight="true" outlineLevel="0" collapsed="false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53" t="str">
        <f aca="true">IF(Q88="","",MAX(0,INT(Q88-TODAY())))</f>
        <v/>
      </c>
      <c r="S88" s="54" t="str">
        <f aca="true">IF(Q88="","",IF(Q88&lt;TODAY(),"EXPIRED",IF(Q88-TODAY()&lt;=30,"EXPIRING SOON","Active")))</f>
        <v/>
      </c>
      <c r="T88" s="56"/>
    </row>
    <row r="89" customFormat="false" ht="21.75" hidden="false" customHeight="true" outlineLevel="0" collapsed="false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3" t="str">
        <f aca="true">IF(Q89="","",MAX(0,INT(Q89-TODAY())))</f>
        <v/>
      </c>
      <c r="S89" s="54" t="str">
        <f aca="true">IF(Q89="","",IF(Q89&lt;TODAY(),"EXPIRED",IF(Q89-TODAY()&lt;=30,"EXPIRING SOON","Active")))</f>
        <v/>
      </c>
      <c r="T89" s="55"/>
    </row>
    <row r="90" customFormat="false" ht="21.75" hidden="false" customHeight="true" outlineLevel="0" collapsed="false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53" t="str">
        <f aca="true">IF(Q90="","",MAX(0,INT(Q90-TODAY())))</f>
        <v/>
      </c>
      <c r="S90" s="54" t="str">
        <f aca="true">IF(Q90="","",IF(Q90&lt;TODAY(),"EXPIRED",IF(Q90-TODAY()&lt;=30,"EXPIRING SOON","Active")))</f>
        <v/>
      </c>
      <c r="T90" s="56"/>
    </row>
    <row r="91" customFormat="false" ht="21.75" hidden="false" customHeight="true" outlineLevel="0" collapsed="false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3" t="str">
        <f aca="true">IF(Q91="","",MAX(0,INT(Q91-TODAY())))</f>
        <v/>
      </c>
      <c r="S91" s="54" t="str">
        <f aca="true">IF(Q91="","",IF(Q91&lt;TODAY(),"EXPIRED",IF(Q91-TODAY()&lt;=30,"EXPIRING SOON","Active")))</f>
        <v/>
      </c>
      <c r="T91" s="55"/>
    </row>
    <row r="92" customFormat="false" ht="21.75" hidden="false" customHeight="true" outlineLevel="0" collapsed="false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53" t="str">
        <f aca="true">IF(Q92="","",MAX(0,INT(Q92-TODAY())))</f>
        <v/>
      </c>
      <c r="S92" s="54" t="str">
        <f aca="true">IF(Q92="","",IF(Q92&lt;TODAY(),"EXPIRED",IF(Q92-TODAY()&lt;=30,"EXPIRING SOON","Active")))</f>
        <v/>
      </c>
      <c r="T92" s="56"/>
    </row>
    <row r="93" customFormat="false" ht="21.75" hidden="false" customHeight="true" outlineLevel="0" collapsed="false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3" t="str">
        <f aca="true">IF(Q93="","",MAX(0,INT(Q93-TODAY())))</f>
        <v/>
      </c>
      <c r="S93" s="54" t="str">
        <f aca="true">IF(Q93="","",IF(Q93&lt;TODAY(),"EXPIRED",IF(Q93-TODAY()&lt;=30,"EXPIRING SOON","Active")))</f>
        <v/>
      </c>
      <c r="T93" s="55"/>
    </row>
    <row r="94" customFormat="false" ht="21.75" hidden="false" customHeight="true" outlineLevel="0" collapsed="false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53" t="str">
        <f aca="true">IF(Q94="","",MAX(0,INT(Q94-TODAY())))</f>
        <v/>
      </c>
      <c r="S94" s="54" t="str">
        <f aca="true">IF(Q94="","",IF(Q94&lt;TODAY(),"EXPIRED",IF(Q94-TODAY()&lt;=30,"EXPIRING SOON","Active")))</f>
        <v/>
      </c>
      <c r="T94" s="56"/>
    </row>
    <row r="95" customFormat="false" ht="21.75" hidden="false" customHeight="true" outlineLevel="0" collapsed="false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3" t="str">
        <f aca="true">IF(Q95="","",MAX(0,INT(Q95-TODAY())))</f>
        <v/>
      </c>
      <c r="S95" s="54" t="str">
        <f aca="true">IF(Q95="","",IF(Q95&lt;TODAY(),"EXPIRED",IF(Q95-TODAY()&lt;=30,"EXPIRING SOON","Active")))</f>
        <v/>
      </c>
      <c r="T95" s="55"/>
    </row>
    <row r="96" customFormat="false" ht="21.75" hidden="false" customHeight="true" outlineLevel="0" collapsed="false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53" t="str">
        <f aca="true">IF(Q96="","",MAX(0,INT(Q96-TODAY())))</f>
        <v/>
      </c>
      <c r="S96" s="54" t="str">
        <f aca="true">IF(Q96="","",IF(Q96&lt;TODAY(),"EXPIRED",IF(Q96-TODAY()&lt;=30,"EXPIRING SOON","Active")))</f>
        <v/>
      </c>
      <c r="T96" s="56"/>
    </row>
    <row r="97" customFormat="false" ht="21.75" hidden="false" customHeight="true" outlineLevel="0" collapsed="false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3" t="str">
        <f aca="true">IF(Q97="","",MAX(0,INT(Q97-TODAY())))</f>
        <v/>
      </c>
      <c r="S97" s="54" t="str">
        <f aca="true">IF(Q97="","",IF(Q97&lt;TODAY(),"EXPIRED",IF(Q97-TODAY()&lt;=30,"EXPIRING SOON","Active")))</f>
        <v/>
      </c>
      <c r="T97" s="55"/>
    </row>
    <row r="98" customFormat="false" ht="21.75" hidden="false" customHeight="true" outlineLevel="0" collapsed="false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53" t="str">
        <f aca="true">IF(Q98="","",MAX(0,INT(Q98-TODAY())))</f>
        <v/>
      </c>
      <c r="S98" s="54" t="str">
        <f aca="true">IF(Q98="","",IF(Q98&lt;TODAY(),"EXPIRED",IF(Q98-TODAY()&lt;=30,"EXPIRING SOON","Active")))</f>
        <v/>
      </c>
      <c r="T98" s="56"/>
    </row>
    <row r="99" customFormat="false" ht="21.75" hidden="false" customHeight="true" outlineLevel="0" collapsed="false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3" t="str">
        <f aca="true">IF(Q99="","",MAX(0,INT(Q99-TODAY())))</f>
        <v/>
      </c>
      <c r="S99" s="54" t="str">
        <f aca="true">IF(Q99="","",IF(Q99&lt;TODAY(),"EXPIRED",IF(Q99-TODAY()&lt;=30,"EXPIRING SOON","Active")))</f>
        <v/>
      </c>
      <c r="T99" s="55"/>
    </row>
    <row r="100" customFormat="false" ht="21.75" hidden="false" customHeight="true" outlineLevel="0" collapsed="false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53" t="str">
        <f aca="true">IF(Q100="","",MAX(0,INT(Q100-TODAY())))</f>
        <v/>
      </c>
      <c r="S100" s="54" t="str">
        <f aca="true">IF(Q100="","",IF(Q100&lt;TODAY(),"EXPIRED",IF(Q100-TODAY()&lt;=30,"EXPIRING SOON","Active")))</f>
        <v/>
      </c>
      <c r="T100" s="56"/>
    </row>
    <row r="101" customFormat="false" ht="21.75" hidden="false" customHeight="true" outlineLevel="0" collapsed="false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3" t="str">
        <f aca="true">IF(Q101="","",MAX(0,INT(Q101-TODAY())))</f>
        <v/>
      </c>
      <c r="S101" s="54" t="str">
        <f aca="true">IF(Q101="","",IF(Q101&lt;TODAY(),"EXPIRED",IF(Q101-TODAY()&lt;=30,"EXPIRING SOON","Active")))</f>
        <v/>
      </c>
      <c r="T101" s="55"/>
    </row>
    <row r="102" customFormat="false" ht="21.75" hidden="false" customHeight="true" outlineLevel="0" collapsed="false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53" t="str">
        <f aca="true">IF(Q102="","",MAX(0,INT(Q102-TODAY())))</f>
        <v/>
      </c>
      <c r="S102" s="54" t="str">
        <f aca="true">IF(Q102="","",IF(Q102&lt;TODAY(),"EXPIRED",IF(Q102-TODAY()&lt;=30,"EXPIRING SOON","Active")))</f>
        <v/>
      </c>
      <c r="T102" s="56"/>
    </row>
    <row r="103" customFormat="false" ht="21.75" hidden="false" customHeight="true" outlineLevel="0" collapsed="false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3" t="str">
        <f aca="true">IF(Q103="","",MAX(0,INT(Q103-TODAY())))</f>
        <v/>
      </c>
      <c r="S103" s="54" t="str">
        <f aca="true">IF(Q103="","",IF(Q103&lt;TODAY(),"EXPIRED",IF(Q103-TODAY()&lt;=30,"EXPIRING SOON","Active")))</f>
        <v/>
      </c>
      <c r="T103" s="55"/>
    </row>
    <row r="104" customFormat="false" ht="21.75" hidden="false" customHeight="true" outlineLevel="0" collapsed="false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53" t="str">
        <f aca="true">IF(Q104="","",MAX(0,INT(Q104-TODAY())))</f>
        <v/>
      </c>
      <c r="S104" s="54" t="str">
        <f aca="true">IF(Q104="","",IF(Q104&lt;TODAY(),"EXPIRED",IF(Q104-TODAY()&lt;=30,"EXPIRING SOON","Active")))</f>
        <v/>
      </c>
      <c r="T104" s="56"/>
    </row>
    <row r="105" customFormat="false" ht="21.75" hidden="false" customHeight="true" outlineLevel="0" collapsed="false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3" t="str">
        <f aca="true">IF(Q105="","",MAX(0,INT(Q105-TODAY())))</f>
        <v/>
      </c>
      <c r="S105" s="54" t="str">
        <f aca="true">IF(Q105="","",IF(Q105&lt;TODAY(),"EXPIRED",IF(Q105-TODAY()&lt;=30,"EXPIRING SOON","Active")))</f>
        <v/>
      </c>
      <c r="T105" s="55"/>
    </row>
    <row r="106" customFormat="false" ht="21.75" hidden="false" customHeight="true" outlineLevel="0" collapsed="false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53" t="str">
        <f aca="true">IF(Q106="","",MAX(0,INT(Q106-TODAY())))</f>
        <v/>
      </c>
      <c r="S106" s="54" t="str">
        <f aca="true">IF(Q106="","",IF(Q106&lt;TODAY(),"EXPIRED",IF(Q106-TODAY()&lt;=30,"EXPIRING SOON","Active")))</f>
        <v/>
      </c>
      <c r="T106" s="56"/>
    </row>
  </sheetData>
  <mergeCells count="7">
    <mergeCell ref="A1:T1"/>
    <mergeCell ref="A2:T2"/>
    <mergeCell ref="A3:T3"/>
    <mergeCell ref="A5:G5"/>
    <mergeCell ref="H5:K5"/>
    <mergeCell ref="L5:N5"/>
    <mergeCell ref="O5:S5"/>
  </mergeCells>
  <dataValidations count="5">
    <dataValidation allowBlank="true" errorStyle="stop" operator="between" showDropDown="false" showErrorMessage="false" showInputMessage="false" sqref="M7:M106" type="list">
      <formula1>"Head Coach,Assistant Coach,Volunteer Coach,Trainer,Manager"</formula1>
      <formula2>0</formula2>
    </dataValidation>
    <dataValidation allowBlank="true" errorStyle="stop" operator="between" showDropDown="false" showErrorMessage="false" showInputMessage="false" sqref="N7:N106" type="list">
      <formula1>"Active,Inactive,Pending Background Check,Suspended"</formula1>
      <formula2>0</formula2>
    </dataValidation>
    <dataValidation allowBlank="true" errorStyle="stop" operator="between" showDropDown="false" showErrorMessage="false" showInputMessage="false" sqref="O7:O106" type="list">
      <formula1>"Monthly,Quarterly,Semi-Annual,Annual,Stipend,Volunteer"</formula1>
      <formula2>0</formula2>
    </dataValidation>
    <dataValidation allowBlank="true" errorStyle="stop" operator="between" showDropDown="false" showErrorMessage="false" showInputMessage="false" sqref="H7:H106" type="list">
      <formula1>'Teams and Programs'!$B$7:$B$36</formula1>
      <formula2>0</formula2>
    </dataValidation>
    <dataValidation allowBlank="true" errorStyle="stop" operator="between" showDropDown="false" showErrorMessage="false" showInputMessage="false" sqref="J7:J106" type="list">
      <formula1>'Teams and Programs'!$E$7:$E$36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L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"/>
    <col collapsed="false" customWidth="true" hidden="false" outlineLevel="0" max="4" min="3" style="0" width="18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7"/>
    <col collapsed="false" customWidth="true" hidden="false" outlineLevel="0" max="12" min="12" style="0" width="30"/>
  </cols>
  <sheetData>
    <row r="1" customFormat="false" ht="12" hidden="false" customHeight="true" outlineLevel="0" collapsed="false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customFormat="false" ht="37.5" hidden="false" customHeight="true" outlineLevel="0" collapsed="false">
      <c r="A2" s="58" t="s">
        <v>134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customFormat="false" ht="21.75" hidden="false" customHeight="true" outlineLevel="0" collapsed="false">
      <c r="A3" s="59" t="s">
        <v>135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customFormat="false" ht="7.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5.75" hidden="false" customHeight="true" outlineLevel="0" collapsed="false">
      <c r="A5" s="48" t="s">
        <v>136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</row>
    <row r="6" customFormat="false" ht="37.5" hidden="false" customHeight="true" outlineLevel="0" collapsed="false">
      <c r="A6" s="50"/>
      <c r="B6" s="50" t="s">
        <v>137</v>
      </c>
      <c r="C6" s="50" t="s">
        <v>54</v>
      </c>
      <c r="D6" s="50" t="s">
        <v>55</v>
      </c>
      <c r="E6" s="50" t="s">
        <v>130</v>
      </c>
      <c r="F6" s="50" t="s">
        <v>57</v>
      </c>
      <c r="G6" s="50" t="s">
        <v>131</v>
      </c>
      <c r="H6" s="50" t="s">
        <v>138</v>
      </c>
      <c r="I6" s="50" t="s">
        <v>139</v>
      </c>
      <c r="J6" s="50" t="s">
        <v>99</v>
      </c>
      <c r="K6" s="50" t="s">
        <v>140</v>
      </c>
      <c r="L6" s="50" t="s">
        <v>63</v>
      </c>
    </row>
    <row r="7" customFormat="false" ht="21.75" hidden="false" customHeight="true" outlineLevel="0" collapsed="false">
      <c r="A7" s="60"/>
      <c r="B7" s="60" t="s">
        <v>141</v>
      </c>
      <c r="C7" s="60" t="s">
        <v>142</v>
      </c>
      <c r="D7" s="60" t="s">
        <v>70</v>
      </c>
      <c r="E7" s="60" t="s">
        <v>71</v>
      </c>
      <c r="F7" s="60" t="s">
        <v>110</v>
      </c>
      <c r="G7" s="60"/>
      <c r="H7" s="60" t="s">
        <v>143</v>
      </c>
      <c r="I7" s="60" t="s">
        <v>144</v>
      </c>
      <c r="J7" s="60" t="s">
        <v>77</v>
      </c>
      <c r="K7" s="60" t="s">
        <v>145</v>
      </c>
      <c r="L7" s="60" t="s">
        <v>146</v>
      </c>
    </row>
    <row r="8" customFormat="false" ht="21.75" hidden="false" customHeight="true" outlineLevel="0" collapsed="false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</row>
    <row r="9" customFormat="false" ht="21.75" hidden="false" customHeight="true" outlineLevel="0" collapsed="false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</row>
    <row r="10" customFormat="false" ht="21.75" hidden="false" customHeight="true" outlineLevel="0" collapsed="false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</row>
    <row r="11" customFormat="false" ht="21.75" hidden="false" customHeight="true" outlineLevel="0" collapsed="false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</row>
    <row r="12" customFormat="false" ht="21.75" hidden="false" customHeight="true" outlineLevel="0" collapsed="false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</row>
    <row r="13" customFormat="false" ht="21.75" hidden="false" customHeight="true" outlineLevel="0" collapsed="false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</row>
    <row r="14" customFormat="false" ht="21.75" hidden="false" customHeight="true" outlineLevel="0" collapsed="false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</row>
    <row r="15" customFormat="false" ht="21.75" hidden="false" customHeight="true" outlineLevel="0" collapsed="false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</row>
    <row r="16" customFormat="false" ht="21.75" hidden="false" customHeight="true" outlineLevel="0" collapsed="false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</row>
    <row r="17" customFormat="false" ht="21.75" hidden="false" customHeight="true" outlineLevel="0" collapsed="false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</row>
    <row r="18" customFormat="false" ht="21.75" hidden="false" customHeight="true" outlineLevel="0" collapsed="false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</row>
    <row r="19" customFormat="false" ht="21.75" hidden="false" customHeight="true" outlineLevel="0" collapsed="false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</row>
    <row r="20" customFormat="false" ht="21.75" hidden="false" customHeight="true" outlineLevel="0" collapsed="false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customFormat="false" ht="21.75" hidden="false" customHeight="true" outlineLevel="0" collapsed="false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</row>
    <row r="22" customFormat="false" ht="21.75" hidden="false" customHeight="true" outlineLevel="0" collapsed="false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</row>
    <row r="23" customFormat="false" ht="21.75" hidden="false" customHeight="true" outlineLevel="0" collapsed="false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</row>
    <row r="24" customFormat="false" ht="21.75" hidden="false" customHeight="true" outlineLevel="0" collapsed="false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</row>
    <row r="25" customFormat="false" ht="21.75" hidden="false" customHeight="true" outlineLevel="0" collapsed="false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</row>
    <row r="26" customFormat="false" ht="21.75" hidden="false" customHeight="true" outlineLevel="0" collapsed="false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27" customFormat="false" ht="21.75" hidden="false" customHeight="true" outlineLevel="0" collapsed="false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</row>
    <row r="28" customFormat="false" ht="21.75" hidden="false" customHeight="true" outlineLevel="0" collapsed="false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</row>
    <row r="29" customFormat="false" ht="21.75" hidden="false" customHeight="true" outlineLevel="0" collapsed="false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</row>
    <row r="30" customFormat="false" ht="21.75" hidden="false" customHeight="true" outlineLevel="0" collapsed="false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</row>
    <row r="31" customFormat="false" ht="21.75" hidden="false" customHeight="true" outlineLevel="0" collapsed="false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</row>
    <row r="32" customFormat="false" ht="21.75" hidden="false" customHeight="true" outlineLevel="0" collapsed="false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</row>
    <row r="33" customFormat="false" ht="21.75" hidden="false" customHeight="true" outlineLevel="0" collapsed="false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</row>
    <row r="34" customFormat="false" ht="21.75" hidden="false" customHeight="true" outlineLevel="0" collapsed="false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</row>
    <row r="35" customFormat="false" ht="21.75" hidden="false" customHeight="true" outlineLevel="0" collapsed="false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</row>
    <row r="36" customFormat="false" ht="21.75" hidden="false" customHeight="true" outlineLevel="0" collapsed="false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</row>
    <row r="37" customFormat="false" ht="21.75" hidden="false" customHeight="true" outlineLevel="0" collapsed="false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</row>
    <row r="38" customFormat="false" ht="21.75" hidden="false" customHeight="true" outlineLevel="0" collapsed="false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</row>
    <row r="39" customFormat="false" ht="21.75" hidden="false" customHeight="true" outlineLevel="0" collapsed="false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</row>
    <row r="40" customFormat="false" ht="21.75" hidden="false" customHeight="true" outlineLevel="0" collapsed="false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</row>
    <row r="41" customFormat="false" ht="21.75" hidden="false" customHeight="true" outlineLevel="0" collapsed="false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</row>
    <row r="42" customFormat="false" ht="21.75" hidden="false" customHeight="true" outlineLevel="0" collapsed="false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</row>
    <row r="43" customFormat="false" ht="21.75" hidden="false" customHeight="true" outlineLevel="0" collapsed="false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</row>
    <row r="44" customFormat="false" ht="21.75" hidden="false" customHeight="true" outlineLevel="0" collapsed="false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</row>
    <row r="45" customFormat="false" ht="21.75" hidden="false" customHeight="true" outlineLevel="0" collapsed="false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</row>
    <row r="46" customFormat="false" ht="21.75" hidden="false" customHeight="true" outlineLevel="0" collapsed="false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</row>
    <row r="47" customFormat="false" ht="21.75" hidden="false" customHeight="true" outlineLevel="0" collapsed="false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</row>
    <row r="48" customFormat="false" ht="21.75" hidden="false" customHeight="true" outlineLevel="0" collapsed="false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</row>
    <row r="49" customFormat="false" ht="21.75" hidden="false" customHeight="true" outlineLevel="0" collapsed="false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</row>
    <row r="50" customFormat="false" ht="21.75" hidden="false" customHeight="true" outlineLevel="0" collapsed="false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</row>
    <row r="51" customFormat="false" ht="21.75" hidden="false" customHeight="true" outlineLevel="0" collapsed="false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</row>
    <row r="52" customFormat="false" ht="21.75" hidden="false" customHeight="true" outlineLevel="0" collapsed="false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</row>
    <row r="53" customFormat="false" ht="21.75" hidden="false" customHeight="true" outlineLevel="0" collapsed="false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</row>
    <row r="54" customFormat="false" ht="21.75" hidden="false" customHeight="true" outlineLevel="0" collapsed="false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</row>
    <row r="55" customFormat="false" ht="21.75" hidden="false" customHeight="true" outlineLevel="0" collapsed="false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</row>
    <row r="56" customFormat="false" ht="21.75" hidden="false" customHeight="true" outlineLevel="0" collapsed="false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</row>
    <row r="57" customFormat="false" ht="21.75" hidden="false" customHeight="true" outlineLevel="0" collapsed="false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</row>
    <row r="58" customFormat="false" ht="21.75" hidden="false" customHeight="true" outlineLevel="0" collapsed="false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</row>
    <row r="59" customFormat="false" ht="21.75" hidden="false" customHeight="true" outlineLevel="0" collapsed="false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</row>
    <row r="60" customFormat="false" ht="21.75" hidden="false" customHeight="true" outlineLevel="0" collapsed="false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</row>
    <row r="61" customFormat="false" ht="21.75" hidden="false" customHeight="true" outlineLevel="0" collapsed="false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</row>
    <row r="62" customFormat="false" ht="21.75" hidden="false" customHeight="true" outlineLevel="0" collapsed="false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</row>
    <row r="63" customFormat="false" ht="21.75" hidden="false" customHeight="true" outlineLevel="0" collapsed="false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</row>
    <row r="64" customFormat="false" ht="21.75" hidden="false" customHeight="true" outlineLevel="0" collapsed="false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</row>
    <row r="65" customFormat="false" ht="21.75" hidden="false" customHeight="true" outlineLevel="0" collapsed="false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</row>
    <row r="66" customFormat="false" ht="21.75" hidden="false" customHeight="true" outlineLevel="0" collapsed="false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</row>
    <row r="67" customFormat="false" ht="21.75" hidden="false" customHeight="true" outlineLevel="0" collapsed="false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</row>
    <row r="68" customFormat="false" ht="21.75" hidden="false" customHeight="true" outlineLevel="0" collapsed="false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</row>
    <row r="69" customFormat="false" ht="21.75" hidden="false" customHeight="true" outlineLevel="0" collapsed="false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</row>
    <row r="70" customFormat="false" ht="21.75" hidden="false" customHeight="true" outlineLevel="0" collapsed="false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</row>
    <row r="71" customFormat="false" ht="21.75" hidden="false" customHeight="true" outlineLevel="0" collapsed="false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</row>
    <row r="72" customFormat="false" ht="21.75" hidden="false" customHeight="true" outlineLevel="0" collapsed="false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</row>
    <row r="73" customFormat="false" ht="21.75" hidden="false" customHeight="true" outlineLevel="0" collapsed="false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</row>
    <row r="74" customFormat="false" ht="21.75" hidden="false" customHeight="true" outlineLevel="0" collapsed="false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</row>
    <row r="75" customFormat="false" ht="21.75" hidden="false" customHeight="true" outlineLevel="0" collapsed="false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</row>
    <row r="76" customFormat="false" ht="21.75" hidden="false" customHeight="true" outlineLevel="0" collapsed="false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</row>
    <row r="77" customFormat="false" ht="21.75" hidden="false" customHeight="true" outlineLevel="0" collapsed="false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</row>
    <row r="78" customFormat="false" ht="21.75" hidden="false" customHeight="true" outlineLevel="0" collapsed="false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</row>
    <row r="79" customFormat="false" ht="21.75" hidden="false" customHeight="true" outlineLevel="0" collapsed="false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</row>
    <row r="80" customFormat="false" ht="21.75" hidden="false" customHeight="true" outlineLevel="0" collapsed="false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</row>
    <row r="81" customFormat="false" ht="21.75" hidden="false" customHeight="true" outlineLevel="0" collapsed="false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</row>
    <row r="82" customFormat="false" ht="21.75" hidden="false" customHeight="true" outlineLevel="0" collapsed="false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</row>
    <row r="83" customFormat="false" ht="21.75" hidden="false" customHeight="true" outlineLevel="0" collapsed="false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</row>
    <row r="84" customFormat="false" ht="21.75" hidden="false" customHeight="true" outlineLevel="0" collapsed="false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</row>
    <row r="85" customFormat="false" ht="21.75" hidden="false" customHeight="true" outlineLevel="0" collapsed="false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</row>
    <row r="86" customFormat="false" ht="21.75" hidden="false" customHeight="true" outlineLevel="0" collapsed="false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</row>
    <row r="87" customFormat="false" ht="21.75" hidden="false" customHeight="true" outlineLevel="0" collapsed="false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</row>
    <row r="88" customFormat="false" ht="21.75" hidden="false" customHeight="true" outlineLevel="0" collapsed="false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</row>
    <row r="89" customFormat="false" ht="21.75" hidden="false" customHeight="true" outlineLevel="0" collapsed="false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customFormat="false" ht="21.75" hidden="false" customHeight="true" outlineLevel="0" collapsed="false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</row>
    <row r="91" customFormat="false" ht="21.75" hidden="false" customHeight="true" outlineLevel="0" collapsed="false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</row>
    <row r="92" customFormat="false" ht="21.75" hidden="false" customHeight="true" outlineLevel="0" collapsed="false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</row>
    <row r="93" customFormat="false" ht="21.75" hidden="false" customHeight="true" outlineLevel="0" collapsed="false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</row>
    <row r="94" customFormat="false" ht="21.75" hidden="false" customHeight="true" outlineLevel="0" collapsed="false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</row>
    <row r="95" customFormat="false" ht="21.75" hidden="false" customHeight="true" outlineLevel="0" collapsed="false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</row>
    <row r="96" customFormat="false" ht="21.75" hidden="false" customHeight="true" outlineLevel="0" collapsed="false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</row>
    <row r="97" customFormat="false" ht="21.75" hidden="false" customHeight="true" outlineLevel="0" collapsed="false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</row>
    <row r="98" customFormat="false" ht="21.75" hidden="false" customHeight="true" outlineLevel="0" collapsed="false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</row>
    <row r="99" customFormat="false" ht="21.75" hidden="false" customHeight="true" outlineLevel="0" collapsed="false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</row>
    <row r="100" customFormat="false" ht="21.75" hidden="false" customHeight="true" outlineLevel="0" collapsed="false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</row>
    <row r="101" customFormat="false" ht="21.75" hidden="false" customHeight="true" outlineLevel="0" collapsed="false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customFormat="false" ht="21.75" hidden="false" customHeight="true" outlineLevel="0" collapsed="false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</row>
    <row r="103" customFormat="false" ht="21.75" hidden="false" customHeight="true" outlineLevel="0" collapsed="false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</row>
    <row r="104" customFormat="false" ht="21.75" hidden="false" customHeight="true" outlineLevel="0" collapsed="false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</row>
    <row r="105" customFormat="false" ht="21.75" hidden="false" customHeight="true" outlineLevel="0" collapsed="false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</row>
    <row r="106" customFormat="false" ht="21.75" hidden="false" customHeight="true" outlineLevel="0" collapsed="false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</row>
  </sheetData>
  <mergeCells count="4">
    <mergeCell ref="A1:L1"/>
    <mergeCell ref="A2:L2"/>
    <mergeCell ref="A3:L3"/>
    <mergeCell ref="A5:L5"/>
  </mergeCells>
  <dataValidations count="3">
    <dataValidation allowBlank="true" errorStyle="stop" operator="between" showDropDown="false" showErrorMessage="false" showInputMessage="false" sqref="H7:H106" type="list">
      <formula1>"Super Admin,Org Admin,Team Manager,Program Director,Finance Admin"</formula1>
      <formula2>0</formula2>
    </dataValidation>
    <dataValidation allowBlank="true" errorStyle="stop" operator="between" showDropDown="false" showErrorMessage="false" showInputMessage="false" sqref="I7:I106" type="list">
      <formula1>"Full Access,Read Only,Team Only,Program Only"</formula1>
      <formula2>0</formula2>
    </dataValidation>
    <dataValidation allowBlank="true" errorStyle="stop" operator="between" showDropDown="false" showErrorMessage="false" showInputMessage="false" sqref="J7:J106" type="list">
      <formula1>"Active,Inactive,Pending Verification,Suspended"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B4A"/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8"/>
    <col collapsed="false" customWidth="true" hidden="false" outlineLevel="0" max="7" min="7" style="0" width="22"/>
  </cols>
  <sheetData>
    <row r="1" customFormat="false" ht="12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37.5" hidden="false" customHeight="true" outlineLevel="0" collapsed="false">
      <c r="A2" s="2" t="s">
        <v>147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3" t="s">
        <v>148</v>
      </c>
      <c r="B3" s="3"/>
      <c r="C3" s="3"/>
      <c r="D3" s="3"/>
      <c r="E3" s="3"/>
      <c r="F3" s="3"/>
      <c r="G3" s="3"/>
    </row>
    <row r="4" customFormat="false" ht="7.5" hidden="false" customHeight="true" outlineLevel="0" collapsed="false">
      <c r="A4" s="4"/>
      <c r="B4" s="4"/>
      <c r="C4" s="4"/>
      <c r="D4" s="4"/>
      <c r="E4" s="4"/>
      <c r="F4" s="4"/>
      <c r="G4" s="4"/>
    </row>
    <row r="5" customFormat="false" ht="24" hidden="false" customHeight="true" outlineLevel="0" collapsed="false">
      <c r="A5" s="16" t="s">
        <v>149</v>
      </c>
      <c r="B5" s="16"/>
      <c r="C5" s="16"/>
      <c r="D5" s="16"/>
      <c r="E5" s="16"/>
      <c r="F5" s="16"/>
      <c r="G5" s="16"/>
    </row>
    <row r="6" customFormat="false" ht="25.5" hidden="false" customHeight="true" outlineLevel="0" collapsed="false">
      <c r="A6" s="51" t="s">
        <v>150</v>
      </c>
      <c r="B6" s="51" t="s">
        <v>151</v>
      </c>
      <c r="C6" s="61"/>
      <c r="D6" s="61"/>
      <c r="E6" s="61"/>
      <c r="F6" s="61"/>
      <c r="G6" s="61"/>
    </row>
    <row r="7" customFormat="false" ht="25.5" hidden="false" customHeight="true" outlineLevel="0" collapsed="false">
      <c r="A7" s="26"/>
      <c r="B7" s="62" t="s">
        <v>152</v>
      </c>
      <c r="C7" s="63" t="n">
        <f aca="false">MAX(0,COUNTA(Parents!E7:E106)-COUNTBLANK(Parents!E7:E106))</f>
        <v>0</v>
      </c>
      <c r="D7" s="64"/>
      <c r="E7" s="64"/>
      <c r="F7" s="64"/>
      <c r="G7" s="64"/>
    </row>
    <row r="8" customFormat="false" ht="25.5" hidden="false" customHeight="true" outlineLevel="0" collapsed="false">
      <c r="A8" s="65"/>
      <c r="B8" s="66" t="s">
        <v>153</v>
      </c>
      <c r="C8" s="67" t="n">
        <f aca="false">MAX(0,COUNTA(Players!C7:C106)-COUNTBLANK(Players!C7:C106))</f>
        <v>0</v>
      </c>
      <c r="D8" s="68"/>
      <c r="E8" s="68"/>
      <c r="F8" s="68"/>
      <c r="G8" s="68"/>
    </row>
    <row r="9" customFormat="false" ht="25.5" hidden="false" customHeight="true" outlineLevel="0" collapsed="false">
      <c r="A9" s="69"/>
      <c r="B9" s="70" t="s">
        <v>154</v>
      </c>
      <c r="C9" s="71" t="n">
        <f aca="false">MAX(0,COUNTA(Coaches!C7:C106)-COUNTBLANK(Coaches!C7:C106))</f>
        <v>0</v>
      </c>
      <c r="D9" s="72"/>
      <c r="E9" s="72"/>
      <c r="F9" s="72"/>
      <c r="G9" s="72"/>
    </row>
    <row r="10" customFormat="false" ht="25.5" hidden="false" customHeight="true" outlineLevel="0" collapsed="false">
      <c r="A10" s="73"/>
      <c r="B10" s="74" t="s">
        <v>155</v>
      </c>
      <c r="C10" s="75" t="n">
        <f aca="false">MAX(0,COUNTA(Admins!C7:C106)-COUNTBLANK(Admins!C7:C106))</f>
        <v>0</v>
      </c>
      <c r="D10" s="76"/>
      <c r="E10" s="76"/>
      <c r="F10" s="76"/>
      <c r="G10" s="76"/>
    </row>
    <row r="11" customFormat="false" ht="9.75" hidden="false" customHeight="true" outlineLevel="0" collapsed="false">
      <c r="A11" s="4"/>
      <c r="B11" s="4"/>
      <c r="C11" s="4"/>
      <c r="D11" s="4"/>
      <c r="E11" s="4"/>
      <c r="F11" s="4"/>
      <c r="G11" s="4"/>
    </row>
    <row r="12" customFormat="false" ht="24" hidden="false" customHeight="true" outlineLevel="0" collapsed="false">
      <c r="A12" s="16" t="s">
        <v>156</v>
      </c>
      <c r="B12" s="16"/>
      <c r="C12" s="16"/>
      <c r="D12" s="16"/>
      <c r="E12" s="16"/>
      <c r="F12" s="16"/>
      <c r="G12" s="16"/>
    </row>
    <row r="13" customFormat="false" ht="25.5" hidden="false" customHeight="true" outlineLevel="0" collapsed="false">
      <c r="A13" s="51" t="s">
        <v>99</v>
      </c>
      <c r="B13" s="40" t="s">
        <v>157</v>
      </c>
      <c r="C13" s="41" t="s">
        <v>158</v>
      </c>
      <c r="D13" s="61"/>
      <c r="E13" s="61"/>
      <c r="F13" s="61"/>
      <c r="G13" s="61"/>
    </row>
    <row r="14" customFormat="false" ht="24" hidden="false" customHeight="true" outlineLevel="0" collapsed="false">
      <c r="A14" s="65"/>
      <c r="B14" s="77" t="s">
        <v>159</v>
      </c>
      <c r="C14" s="78" t="n">
        <f aca="false">COUNTIF(Players!T7:T106,"Active")</f>
        <v>1</v>
      </c>
      <c r="D14" s="78" t="n">
        <f aca="false">COUNTIF(Coaches!S7:S106,"Active")</f>
        <v>0</v>
      </c>
      <c r="E14" s="68"/>
      <c r="F14" s="68"/>
      <c r="G14" s="68"/>
    </row>
    <row r="15" customFormat="false" ht="24" hidden="false" customHeight="true" outlineLevel="0" collapsed="false">
      <c r="A15" s="69"/>
      <c r="B15" s="79" t="s">
        <v>160</v>
      </c>
      <c r="C15" s="80" t="n">
        <f aca="false">COUNTIF(Players!T7:T106,"EXPIRING SOON")</f>
        <v>1</v>
      </c>
      <c r="D15" s="80" t="n">
        <f aca="false">COUNTIF(Coaches!S7:S106,"EXPIRING SOON")</f>
        <v>0</v>
      </c>
      <c r="E15" s="72"/>
      <c r="F15" s="72"/>
      <c r="G15" s="72"/>
    </row>
    <row r="16" customFormat="false" ht="24" hidden="false" customHeight="true" outlineLevel="0" collapsed="false">
      <c r="A16" s="73"/>
      <c r="B16" s="81" t="s">
        <v>161</v>
      </c>
      <c r="C16" s="82" t="n">
        <f aca="false">COUNTIF(Players!T7:T106,"EXPIRED")</f>
        <v>0</v>
      </c>
      <c r="D16" s="82" t="n">
        <f aca="false">COUNTIF(Coaches!S7:S106,"EXPIRED")</f>
        <v>0</v>
      </c>
      <c r="E16" s="76"/>
      <c r="F16" s="76"/>
      <c r="G16" s="76"/>
    </row>
    <row r="17" customFormat="false" ht="24" hidden="false" customHeight="true" outlineLevel="0" collapsed="false">
      <c r="A17" s="83"/>
      <c r="B17" s="84" t="s">
        <v>162</v>
      </c>
      <c r="C17" s="85" t="n">
        <f aca="false">MAX(0,COUNTA(Players!C7:C106)-COUNTBLANK(Players!C7:C106)-COUNTIF(Players!T7:T106,"Active")-COUNTIF(Players!T7:T106,"EXPIRING SOON")-COUNTIF(Players!T7:T106,"EXPIRED"))</f>
        <v>0</v>
      </c>
      <c r="D17" s="85" t="n">
        <f aca="false">MAX(0,COUNTA(Coaches!C7:C106)-COUNTBLANK(Coaches!C7:C106)-COUNTIF(Coaches!S7:S106,"Active")-COUNTIF(Coaches!S7:S106,"EXPIRING SOON")-COUNTIF(Coaches!S7:S106,"EXPIRED"))</f>
        <v>0</v>
      </c>
      <c r="E17" s="86"/>
      <c r="F17" s="86"/>
      <c r="G17" s="86"/>
    </row>
    <row r="18" customFormat="false" ht="9.75" hidden="false" customHeight="true" outlineLevel="0" collapsed="false">
      <c r="A18" s="4"/>
      <c r="B18" s="4"/>
      <c r="C18" s="4"/>
      <c r="D18" s="4"/>
      <c r="E18" s="4"/>
      <c r="F18" s="4"/>
      <c r="G18" s="4"/>
    </row>
    <row r="19" customFormat="false" ht="24" hidden="false" customHeight="true" outlineLevel="0" collapsed="false">
      <c r="A19" s="16" t="s">
        <v>163</v>
      </c>
      <c r="B19" s="16"/>
      <c r="C19" s="16"/>
      <c r="D19" s="16"/>
      <c r="E19" s="16"/>
      <c r="F19" s="16"/>
      <c r="G19" s="16"/>
    </row>
    <row r="20" customFormat="false" ht="24" hidden="false" customHeight="true" outlineLevel="0" collapsed="false">
      <c r="A20" s="51" t="s">
        <v>164</v>
      </c>
      <c r="B20" s="51" t="s">
        <v>165</v>
      </c>
      <c r="C20" s="61"/>
      <c r="D20" s="61"/>
      <c r="E20" s="61"/>
      <c r="F20" s="61"/>
      <c r="G20" s="51" t="s">
        <v>166</v>
      </c>
    </row>
    <row r="21" customFormat="false" ht="21.75" hidden="false" customHeight="true" outlineLevel="0" collapsed="false">
      <c r="A21" s="87"/>
      <c r="B21" s="88" t="s">
        <v>167</v>
      </c>
      <c r="C21" s="89" t="s">
        <v>168</v>
      </c>
      <c r="D21" s="89"/>
      <c r="E21" s="89"/>
      <c r="F21" s="89"/>
      <c r="G21" s="90" t="s">
        <v>169</v>
      </c>
    </row>
    <row r="22" customFormat="false" ht="21.75" hidden="false" customHeight="true" outlineLevel="0" collapsed="false">
      <c r="A22" s="4"/>
      <c r="B22" s="91" t="s">
        <v>167</v>
      </c>
      <c r="C22" s="92" t="s">
        <v>170</v>
      </c>
      <c r="D22" s="92"/>
      <c r="E22" s="92"/>
      <c r="F22" s="92"/>
      <c r="G22" s="93" t="s">
        <v>171</v>
      </c>
    </row>
    <row r="23" customFormat="false" ht="21.75" hidden="false" customHeight="true" outlineLevel="0" collapsed="false">
      <c r="A23" s="87"/>
      <c r="B23" s="88" t="s">
        <v>167</v>
      </c>
      <c r="C23" s="89" t="s">
        <v>172</v>
      </c>
      <c r="D23" s="89"/>
      <c r="E23" s="89"/>
      <c r="F23" s="89"/>
      <c r="G23" s="90" t="s">
        <v>157</v>
      </c>
    </row>
    <row r="24" customFormat="false" ht="21.75" hidden="false" customHeight="true" outlineLevel="0" collapsed="false">
      <c r="A24" s="4"/>
      <c r="B24" s="91" t="s">
        <v>167</v>
      </c>
      <c r="C24" s="92" t="s">
        <v>173</v>
      </c>
      <c r="D24" s="92"/>
      <c r="E24" s="92"/>
      <c r="F24" s="92"/>
      <c r="G24" s="93" t="s">
        <v>174</v>
      </c>
    </row>
    <row r="25" customFormat="false" ht="21.75" hidden="false" customHeight="true" outlineLevel="0" collapsed="false">
      <c r="A25" s="87"/>
      <c r="B25" s="88" t="s">
        <v>167</v>
      </c>
      <c r="C25" s="89" t="s">
        <v>175</v>
      </c>
      <c r="D25" s="89"/>
      <c r="E25" s="89"/>
      <c r="F25" s="89"/>
      <c r="G25" s="90" t="s">
        <v>158</v>
      </c>
    </row>
    <row r="26" customFormat="false" ht="21.75" hidden="false" customHeight="true" outlineLevel="0" collapsed="false">
      <c r="A26" s="4"/>
      <c r="B26" s="91" t="s">
        <v>167</v>
      </c>
      <c r="C26" s="92" t="s">
        <v>176</v>
      </c>
      <c r="D26" s="92"/>
      <c r="E26" s="92"/>
      <c r="F26" s="92"/>
      <c r="G26" s="93" t="s">
        <v>177</v>
      </c>
    </row>
    <row r="27" customFormat="false" ht="21.75" hidden="false" customHeight="true" outlineLevel="0" collapsed="false">
      <c r="A27" s="87"/>
      <c r="B27" s="88" t="s">
        <v>167</v>
      </c>
      <c r="C27" s="89" t="s">
        <v>178</v>
      </c>
      <c r="D27" s="89"/>
      <c r="E27" s="89"/>
      <c r="F27" s="89"/>
      <c r="G27" s="90" t="s">
        <v>179</v>
      </c>
    </row>
    <row r="28" customFormat="false" ht="21.75" hidden="false" customHeight="true" outlineLevel="0" collapsed="false">
      <c r="A28" s="4"/>
      <c r="B28" s="91" t="s">
        <v>167</v>
      </c>
      <c r="C28" s="92" t="s">
        <v>180</v>
      </c>
      <c r="D28" s="92"/>
      <c r="E28" s="92"/>
      <c r="F28" s="92"/>
      <c r="G28" s="93" t="s">
        <v>181</v>
      </c>
    </row>
  </sheetData>
  <mergeCells count="22">
    <mergeCell ref="A1:G1"/>
    <mergeCell ref="A2:G2"/>
    <mergeCell ref="A3:G3"/>
    <mergeCell ref="A5:G5"/>
    <mergeCell ref="D7:G7"/>
    <mergeCell ref="D8:G8"/>
    <mergeCell ref="D9:G9"/>
    <mergeCell ref="D10:G10"/>
    <mergeCell ref="A12:G12"/>
    <mergeCell ref="E14:G14"/>
    <mergeCell ref="E15:G15"/>
    <mergeCell ref="E16:G16"/>
    <mergeCell ref="E17:G17"/>
    <mergeCell ref="A19:G19"/>
    <mergeCell ref="C21:F21"/>
    <mergeCell ref="C22:F22"/>
    <mergeCell ref="C23:F23"/>
    <mergeCell ref="C24:F24"/>
    <mergeCell ref="C25:F25"/>
    <mergeCell ref="C26:F26"/>
    <mergeCell ref="C27:F27"/>
    <mergeCell ref="C28:F28"/>
  </mergeCells>
  <dataValidations count="1">
    <dataValidation allowBlank="false" errorStyle="stop" operator="between" showDropDown="false" showErrorMessage="false" showInputMessage="false" sqref="B21:B28" type="list">
      <formula1>"Pending,Done,Skip"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2026-03-31T20:34:17Z</dcterms:created>
  <dc:creator>openpyxl</dc:creator>
  <dc:description/>
  <dc:language>en-US</dc:language>
  <cp:lastModifiedBy/>
  <dcterms:modified xsi:type="dcterms:W3CDTF">2026-03-31T20:34:18Z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